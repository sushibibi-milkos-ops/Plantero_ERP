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Varsayımlar" sheetId="2" state="visible" r:id="rId4"/>
    <sheet name="Kredi Takvimi" sheetId="3" state="visible" r:id="rId5"/>
    <sheet name="Krediler" sheetId="4" state="visible" r:id="rId6"/>
    <sheet name="Nakit Akış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<sst xmlns="http://schemas.openxmlformats.org/spreadsheetml/2006/main" count="383" uniqueCount="304">
  <si>
    <t xml:space="preserve">BİGETAŞ BİYOTEKNOLOJİ A.Ş. — NAKİT AKIŞI &amp; AYLIK CİRO HEDEFİ</t>
  </si>
  <si>
    <t xml:space="preserve">Hazırlık: 25.08.2026 · Kaynak: Vakıfbank ödeme planları (6 kredi) + QNB ödeme planı (1 kredi) + kullanıcının gider ve satış verileri. Tüm rakamlar formül; Varsayımlar sayfasını güncelleyince yenilenir.</t>
  </si>
  <si>
    <t xml:space="preserve">Renk kodu: Mavi = girdi · Sarı = teyit edilecek varsayım · Siyah = formül · Yeşil = başka sayfadan link</t>
  </si>
  <si>
    <t xml:space="preserve">BUGÜNKÜ DURUM — mevcut ciro ve giderlerle (Eyl 2026)</t>
  </si>
  <si>
    <t xml:space="preserve">Mevcut aylık ciro (E-ticaret + Toptan/fason + Hammadde + Migros)</t>
  </si>
  <si>
    <t xml:space="preserve">Ağırlıklı brüt (katkı) marjı</t>
  </si>
  <si>
    <t xml:space="preserve">Aylık brüt kâr</t>
  </si>
  <si>
    <t xml:space="preserve">Aylık sabit gider</t>
  </si>
  <si>
    <t xml:space="preserve">FAVÖK (brüt kâr − sabit gider)</t>
  </si>
  <si>
    <t xml:space="preserve">Kredi taksiti (faiz + anapara)</t>
  </si>
  <si>
    <t xml:space="preserve">Kurumlar vergisi (basitleştirilmiş)</t>
  </si>
  <si>
    <t xml:space="preserve">AYLIK NET NAKİT — Eyl 2026</t>
  </si>
  <si>
    <t xml:space="preserve">Aylık net nakit — ilk 12 ay ortalaması</t>
  </si>
  <si>
    <t xml:space="preserve">Aylık net nakit — Tem 2028 sonrası (iki kredi bitince)</t>
  </si>
  <si>
    <t xml:space="preserve">AYLIK CİRO HEDEFİ (KDV hariç, TL) — mevcut kanal karışımıyla</t>
  </si>
  <si>
    <t xml:space="preserve">Sadece kredi taksitlerini karşılamak için gereken ciro — Eyl 2026</t>
  </si>
  <si>
    <t xml:space="preserve">HEDEF AYLIK CİRO — Eyl 2026 (sabit gider + taksit + vergi + tampon)</t>
  </si>
  <si>
    <t xml:space="preserve">Mevcut ciro − hedef (eksi = açık)</t>
  </si>
  <si>
    <t xml:space="preserve">   Hedefin kanal payı — E-ticaret (mevcut oranla)</t>
  </si>
  <si>
    <t xml:space="preserve">   Hedefin kanal payı — Toptan / fason (mevcut oranla)</t>
  </si>
  <si>
    <t xml:space="preserve">   Hedefin kanal payı — Doğrudan hammadde satışı (mevcut oranla)</t>
  </si>
  <si>
    <t xml:space="preserve">   Hedefin kanal payı — Migros (mevcut oranla)</t>
  </si>
  <si>
    <t xml:space="preserve">Hedef aylık ciro — ilk 12 ay ortalaması (Eyl 2026 – Ağu 2027)</t>
  </si>
  <si>
    <t xml:space="preserve">Hedef aylık ciro — 2027 ortalaması</t>
  </si>
  <si>
    <t xml:space="preserve">Hedef aylık ciro — 2028 ortalaması</t>
  </si>
  <si>
    <t xml:space="preserve">Hedef aylık ciro — Oca–Ağu 2029 ortalaması</t>
  </si>
  <si>
    <t xml:space="preserve">DUYARLILIK 1 — toptan/fason cirosuna göre aylık net nakit (diğer kanallar sabit)</t>
  </si>
  <si>
    <t xml:space="preserve">Toptan/fason aylık ciro</t>
  </si>
  <si>
    <t xml:space="preserve">Toplam ciro</t>
  </si>
  <si>
    <t xml:space="preserve">Net nakit — Eyl 2026</t>
  </si>
  <si>
    <t xml:space="preserve">Net nakit — 2027 ort.</t>
  </si>
  <si>
    <t xml:space="preserve">Net nakit — Tem 2028 sonrası</t>
  </si>
  <si>
    <t xml:space="preserve">DUYARLILIK 2 — ağırlıklı brüt marja göre gereken aylık ciro (TL)</t>
  </si>
  <si>
    <t xml:space="preserve">Ağırlıklı brüt marj</t>
  </si>
  <si>
    <t xml:space="preserve">Sadece kredi taksiti (Eyl–Ara 2026)</t>
  </si>
  <si>
    <t xml:space="preserve">Hedef ciro — Eyl 2026</t>
  </si>
  <si>
    <t xml:space="preserve">Hedef ciro — 2027 ort.</t>
  </si>
  <si>
    <t xml:space="preserve">Hedef ciro — Tem 2028 sonrası</t>
  </si>
  <si>
    <t xml:space="preserve">KREDİ PORTFÖYÜ (25.08.2026)</t>
  </si>
  <si>
    <t xml:space="preserve">Kredi sayısı</t>
  </si>
  <si>
    <t xml:space="preserve">Toplam kalan anapara</t>
  </si>
  <si>
    <t xml:space="preserve">Kalan toplam geri ödeme (Ağu 2026 → Ağu 2029)</t>
  </si>
  <si>
    <t xml:space="preserve">Kalan toplam faiz + BSMV</t>
  </si>
  <si>
    <t xml:space="preserve">Ortalama aylık faiz gideri — ilk 12 ay</t>
  </si>
  <si>
    <t xml:space="preserve">Ortalama aylık anapara ödemesi — ilk 12 ay</t>
  </si>
  <si>
    <t xml:space="preserve">AYLIK KREDİ TAKSİT YÜKÜ (tüm krediler, TL)</t>
  </si>
  <si>
    <t xml:space="preserve">29 Ağustos 2026 — ödenmemiş son taksit (Vakıf 500k)</t>
  </si>
  <si>
    <t xml:space="preserve">Eyl – Ara 2026</t>
  </si>
  <si>
    <t xml:space="preserve">Oca 2027 – May 2028  (SKY KOBİ Ara 2026’da biter)</t>
  </si>
  <si>
    <t xml:space="preserve">Haz 2028  (Tam Çıpa May 2028’de biter)</t>
  </si>
  <si>
    <t xml:space="preserve">Tem 2028 – Şub 2029  (Trendyol Haz 2028’de biter)</t>
  </si>
  <si>
    <t xml:space="preserve">Mar – May 2029  (Tam Esnaf 400k Şub 2029’da biter)</t>
  </si>
  <si>
    <t xml:space="preserve">Haz – Ağu 2029  (Tam Esnaf 500k May 2029’da biter)</t>
  </si>
  <si>
    <t xml:space="preserve">Yıllık toplam taksit</t>
  </si>
  <si>
    <t xml:space="preserve">   (yıl)</t>
  </si>
  <si>
    <t xml:space="preserve">2026 (Ağu–Ara)</t>
  </si>
  <si>
    <t xml:space="preserve">2027</t>
  </si>
  <si>
    <t xml:space="preserve">2028</t>
  </si>
  <si>
    <t xml:space="preserve">2029 (Oca–Ağu)</t>
  </si>
  <si>
    <t xml:space="preserve">AY İÇİ ÖDEME GÜNLERİ (standart aylık taksit, TL)</t>
  </si>
  <si>
    <t xml:space="preserve">Ayın 5'i — Vakıf Kadın İst. 1,5M + Vakıf Tam Esnaf 400k</t>
  </si>
  <si>
    <t xml:space="preserve">Ayın 11'i — QNB 1,5M</t>
  </si>
  <si>
    <t xml:space="preserve">Ayın 21–23'ü — Vakıf Tam Çıpa + Trendyol + SKY KOBİ (SKY Ara 2026'ya kadar)</t>
  </si>
  <si>
    <t xml:space="preserve">Ayın 29'u — Vakıf Tam Esnaf 500k</t>
  </si>
  <si>
    <t xml:space="preserve">NOTLAR / EKSİK VERİ</t>
  </si>
  <si>
    <t xml:space="preserve">1) Sabit giderler ve kanal ciroları kullanıcı verisi (25.08.2026). Kanal marjları kullanıcının birim örneklerinden hesaplandı (sarı) — teyit et.</t>
  </si>
  <si>
    <t xml:space="preserve">2) Toptan/fason cirosu 500k–1M arasında dalgalanıyor; orta nokta 750k alındı. Duyarlılık 1 tablosu bu dalgalanmanın nakit etkisini gösterir.</t>
  </si>
  <si>
    <t xml:space="preserve">3) Hammadde satışı düzensiz (200–250k, yılda ~4 kez); yıllık ortalama 75k/ay dağıtıldı. Gerçek sipariş aylarını Nakit Akışı 9. satıra yazarsan ay bazlı nakit doğrulaşır.</t>
  </si>
  <si>
    <t xml:space="preserve">4) Vakıf Tam Çıpa kredisi değişken faizli (TCMB + %4,5). TCMB indirdikçe Varsayımlar!B40’i güncelle; taksit düşer.</t>
  </si>
  <si>
    <t xml:space="preserve">5) Kurumlar vergisi aylık tahakkuk basitleştirmesiyle hesaplandı; amortisman ve geçmiş yıl zararı dikkate alınmadı. KDV: satış %1, alım %20 → devreden KDV; giderler KDV dahil.</t>
  </si>
  <si>
    <t xml:space="preserve">6) Tahsilat: e-ticaret, toptan/fason ve hammadde peşin (0 ay); Migros 60 gün vade (2 ay) → ~100k TL alacak sürekli bağlı. Vadeler Varsayımlar kanal tablosu D sütununda.</t>
  </si>
  <si>
    <t xml:space="preserve">7) 29.08.2026’da Vakıf 500k kredisinin 41.163,97 TL taksiti var. Dönem başı nakdi (Varsayımlar!B4) bu ödeme sonrası gir.</t>
  </si>
  <si>
    <t xml:space="preserve">8) Buca tadilat/makine yatırımı ve hibe/sermaye girişleri Nakit Akışı sayfasında 43–44. satırlara elle girilir.</t>
  </si>
  <si>
    <t xml:space="preserve">VARSAYIMLAR — mavi hücreleri güncelle, formüller kendini yeniler</t>
  </si>
  <si>
    <t xml:space="preserve">Mavi yazı = girdi (kullanıcı verisi 25.08.2026 veya varsayım).  Sarı = tahminî, teyit et.  Siyah = formül.  Sabit giderler KDV dahil (devreden KDV).</t>
  </si>
  <si>
    <t xml:space="preserve">Genel</t>
  </si>
  <si>
    <t xml:space="preserve">Dönem başı nakit — 1 Eyl 2026 (banka + kasa, TL)</t>
  </si>
  <si>
    <t xml:space="preserve">29.08.2026 Vakıf 500k taksiti (41.163,97 TL) ödendikten sonraki toplam bakiye — GİR</t>
  </si>
  <si>
    <t xml:space="preserve">Ağırlıklı brüt (katkı) marjı — kanal karışımından</t>
  </si>
  <si>
    <t xml:space="preserve">Formül: kanal cirolarıyla ağırlıklı (aşağıdaki tablo). Hedef ciro bu marjla hesaplanır</t>
  </si>
  <si>
    <t xml:space="preserve">Net KDV ödemesi (ciro %)</t>
  </si>
  <si>
    <t xml:space="preserve">Kullanıcı: satışlar %1 KDV, alımlar %20 → devreden KDV birikiyor, nakit KDV ödemesi yok → 0. Giderler KDV dahil yazıldı</t>
  </si>
  <si>
    <t xml:space="preserve">Kurumlar vergisi oranı</t>
  </si>
  <si>
    <t xml:space="preserve">Basitleştirme: aylık tahakkuk; amortisman ve geçmiş yıl zararı yok. Zarar mahsubu varsa 0 yapabilirsin</t>
  </si>
  <si>
    <t xml:space="preserve">Aylık nakit tampon hedefi (TL)</t>
  </si>
  <si>
    <t xml:space="preserve">Hedef ciroya eklenen aylık net nakit fazlası (0 = tam başabaş)</t>
  </si>
  <si>
    <t xml:space="preserve">Ciro senaryo çarpanı (1,00 = mevcut ciro)</t>
  </si>
  <si>
    <t xml:space="preserve">Tüm kanalları ölçekler: 1,20 = %20 büyüme senaryosu</t>
  </si>
  <si>
    <t xml:space="preserve">Aylık ciro büyümesi %</t>
  </si>
  <si>
    <t xml:space="preserve">Eyl 2026’dan itibaren aylık bileşik</t>
  </si>
  <si>
    <t xml:space="preserve">Sabit gider yıllık artış %</t>
  </si>
  <si>
    <t xml:space="preserve">Her 12 ayda bir uygulanır (Eyl 2027, Eyl 2028). Enflasyon için %25–30 girebilirsin</t>
  </si>
  <si>
    <t xml:space="preserve">Aylık sabit giderler (TL, KDV dahil) — kullanıcı verisi, 25.08.2026</t>
  </si>
  <si>
    <t xml:space="preserve">Kira — fabrika (KDV dahil)</t>
  </si>
  <si>
    <t xml:space="preserve">Kullanıcı: ~150.000 KDV dahil; devreden KDV birikimi nedeniyle KDV dahil yazıldı</t>
  </si>
  <si>
    <t xml:space="preserve">OSB / site aidatı</t>
  </si>
  <si>
    <t xml:space="preserve">Kullanıcı verisi</t>
  </si>
  <si>
    <t xml:space="preserve">Personel — mevcut maaşlar (kurucu maaşı dahil)</t>
  </si>
  <si>
    <t xml:space="preserve">Personel — stopaj / SGK</t>
  </si>
  <si>
    <t xml:space="preserve">Personel — planlanan part-time</t>
  </si>
  <si>
    <t xml:space="preserve">Kullanıcı: toplam personel maliyeti ~160.000 olacak</t>
  </si>
  <si>
    <t xml:space="preserve">Enerji (elektrik, su, gaz)</t>
  </si>
  <si>
    <t xml:space="preserve">Muhasebe / mali müşavir</t>
  </si>
  <si>
    <t xml:space="preserve">Yazılım abonelikleri</t>
  </si>
  <si>
    <t xml:space="preserve">Sigorta (şu an yalnız araç)</t>
  </si>
  <si>
    <t xml:space="preserve">Bakım-onarım, temizlik, güvenlik</t>
  </si>
  <si>
    <t xml:space="preserve">İnternet, telefon</t>
  </si>
  <si>
    <t xml:space="preserve">Belgeler, analiz, sertifika</t>
  </si>
  <si>
    <t xml:space="preserve">Pazarlama — dijital ajans</t>
  </si>
  <si>
    <t xml:space="preserve">Reklam bütçesi</t>
  </si>
  <si>
    <t xml:space="preserve">Banka masrafları</t>
  </si>
  <si>
    <t xml:space="preserve">Toplam aylık sabit gider</t>
  </si>
  <si>
    <t xml:space="preserve">Satış kanalları — mevcut aylık ciro (KDV hariç), katkı marjı, tahsilat vadesi — kullanıcı verisi, 25.08.2026</t>
  </si>
  <si>
    <t xml:space="preserve">Kanal</t>
  </si>
  <si>
    <t xml:space="preserve">Aylık ciro (TL)</t>
  </si>
  <si>
    <t xml:space="preserve">Katkı marjı %</t>
  </si>
  <si>
    <t xml:space="preserve">Tahsilat vadesi (ay)</t>
  </si>
  <si>
    <t xml:space="preserve">Kaynak / hesap</t>
  </si>
  <si>
    <t xml:space="preserve">E-ticaret (Trendyol, Hepsiburada, kendi site)</t>
  </si>
  <si>
    <t xml:space="preserve">Kullanıcı: 750–800k/ay (Hepsiburada tek başına ~500k). Marj: 450 TL satış → komisyon+kargo ~%40 → ~270 net − ~90 hammadde ≈ 180 TL → %40. Pazaryeri ödeme döngüsü 2–4 hafta → 0 ay</t>
  </si>
  <si>
    <t xml:space="preserve">Toptan / fason (firmalara ürün satışı)</t>
  </si>
  <si>
    <t xml:space="preserve">Kullanıcı: 500k–1M/ay, çok değişken (orta nokta). Birim 230 TL, hammadde 85–90 TL, etiket yok → (230−87,5)/230 ≈ %62. Tahsilat peşin (kullanıcı)</t>
  </si>
  <si>
    <t xml:space="preserve">Doğrudan hammadde satışı</t>
  </si>
  <si>
    <t xml:space="preserve">Kullanıcı: 200–250k’lık sipariş, yılda ~4 kez, düzensiz → yıllık ~900k ÷ 12 ≈ 75k/ay. Peşin varsayıldı. Gerçek sipariş aylarını Nakit Akışı 9. satıra elle girebilirsin</t>
  </si>
  <si>
    <t xml:space="preserve">Migros (perakende zincir)</t>
  </si>
  <si>
    <t xml:space="preserve">Kullanıcı: ~50k/ay, 60 gün vade → 2 ay. Marj verilmedi, %45 varsayıldı (etkisi küçük) — teyit et</t>
  </si>
  <si>
    <t xml:space="preserve">Toplam mevcut aylık ciro / ağırlıklı marj</t>
  </si>
  <si>
    <t xml:space="preserve">Ağırlıklı marj → B5’e link; ağırlıklı vade (ay) bilgi amaçlı</t>
  </si>
  <si>
    <t xml:space="preserve">Kredi parametreleri — Vakıfbank Tam Çıpa 6501234486 (değişken faizli, taksitleri bankada boş)</t>
  </si>
  <si>
    <t xml:space="preserve">Aylık faiz oranı (TCMB politika faizi + %4,5) / 12</t>
  </si>
  <si>
    <t xml:space="preserve">Bankanın 21.08.2026 taksitinde uyguladığı oran. TCMB indirirse güncelle → taksit ve faiz otomatik düşer</t>
  </si>
  <si>
    <t xml:space="preserve">BSMV oranı</t>
  </si>
  <si>
    <t xml:space="preserve">Faiz üzerinden</t>
  </si>
  <si>
    <t xml:space="preserve">Kalan anapara (25.08.2026)</t>
  </si>
  <si>
    <t xml:space="preserve">Kaynak: Vakıfbank ödeme planı, 15. taksit sonrası bakiye</t>
  </si>
  <si>
    <t xml:space="preserve">Kalan taksit sayısı (16–36, Eyl 2026 – May 2028)</t>
  </si>
  <si>
    <t xml:space="preserve">Kaynak: Vakıfbank ödeme planı</t>
  </si>
  <si>
    <t xml:space="preserve">Projeksiyon taksiti (eşit taksit, faiz + BSMV dahil)</t>
  </si>
  <si>
    <t xml:space="preserve">Bankanın son tahsil ettiği taksit 76.264,16 TL; ~50 TL fark gün sayımından. Kredi Takvimi bu değeri kullanır</t>
  </si>
  <si>
    <t xml:space="preserve">KONSOLİDE KREDİ ÖDEME TAKVİMİ — Ağu 2026 → Ağu 2029 (TL)</t>
  </si>
  <si>
    <t xml:space="preserve">1. Vakıf Tam Çıpa 1,5M</t>
  </si>
  <si>
    <t xml:space="preserve">2. Vakıf Kadın İst. 1,5M</t>
  </si>
  <si>
    <t xml:space="preserve">3. QNB 1,5M</t>
  </si>
  <si>
    <t xml:space="preserve">4. Vakıf Tam Esnaf 500k</t>
  </si>
  <si>
    <t xml:space="preserve">5. Vakıf Tam Esnaf 400k</t>
  </si>
  <si>
    <t xml:space="preserve">6. Vakıf Trendyol 385k</t>
  </si>
  <si>
    <t xml:space="preserve">7. Vakıf SKY KOBİ 100k</t>
  </si>
  <si>
    <t xml:space="preserve">Ay</t>
  </si>
  <si>
    <t xml:space="preserve">Yıl</t>
  </si>
  <si>
    <t xml:space="preserve">Taksit</t>
  </si>
  <si>
    <t xml:space="preserve">Faiz+BSMV</t>
  </si>
  <si>
    <t xml:space="preserve">Anapara</t>
  </si>
  <si>
    <t xml:space="preserve">Kalan bakiye</t>
  </si>
  <si>
    <t xml:space="preserve">TOPLAM TAKSİT</t>
  </si>
  <si>
    <t xml:space="preserve">TOPLAM FAİZ+BSMV</t>
  </si>
  <si>
    <t xml:space="preserve">TOPLAM ANAPARA</t>
  </si>
  <si>
    <t xml:space="preserve">KALAN TOPLAM ANAPARA</t>
  </si>
  <si>
    <t xml:space="preserve">Ağu 2026</t>
  </si>
  <si>
    <t xml:space="preserve">Eyl 2026</t>
  </si>
  <si>
    <t xml:space="preserve">Eki 2026</t>
  </si>
  <si>
    <t xml:space="preserve">Kas 2026</t>
  </si>
  <si>
    <t xml:space="preserve">Ara 2026</t>
  </si>
  <si>
    <t xml:space="preserve">Oca 2027</t>
  </si>
  <si>
    <t xml:space="preserve">Şub 2027</t>
  </si>
  <si>
    <t xml:space="preserve">Mar 2027</t>
  </si>
  <si>
    <t xml:space="preserve">Nis 2027</t>
  </si>
  <si>
    <t xml:space="preserve">May 2027</t>
  </si>
  <si>
    <t xml:space="preserve">Haz 2027</t>
  </si>
  <si>
    <t xml:space="preserve">Tem 2027</t>
  </si>
  <si>
    <t xml:space="preserve">Ağu 2027</t>
  </si>
  <si>
    <t xml:space="preserve">Eyl 2027</t>
  </si>
  <si>
    <t xml:space="preserve">Eki 2027</t>
  </si>
  <si>
    <t xml:space="preserve">Kas 2027</t>
  </si>
  <si>
    <t xml:space="preserve">Ara 2027</t>
  </si>
  <si>
    <t xml:space="preserve">Oca 2028</t>
  </si>
  <si>
    <t xml:space="preserve">Şub 2028</t>
  </si>
  <si>
    <t xml:space="preserve">Mar 2028</t>
  </si>
  <si>
    <t xml:space="preserve">Nis 2028</t>
  </si>
  <si>
    <t xml:space="preserve">May 2028</t>
  </si>
  <si>
    <t xml:space="preserve">Haz 2028</t>
  </si>
  <si>
    <t xml:space="preserve">Tem 2028</t>
  </si>
  <si>
    <t xml:space="preserve">Ağu 2028</t>
  </si>
  <si>
    <t xml:space="preserve">Eyl 2028</t>
  </si>
  <si>
    <t xml:space="preserve">Eki 2028</t>
  </si>
  <si>
    <t xml:space="preserve">Kas 2028</t>
  </si>
  <si>
    <t xml:space="preserve">Ara 2028</t>
  </si>
  <si>
    <t xml:space="preserve">Oca 2029</t>
  </si>
  <si>
    <t xml:space="preserve">Şub 2029</t>
  </si>
  <si>
    <t xml:space="preserve">Mar 2029</t>
  </si>
  <si>
    <t xml:space="preserve">Nis 2029</t>
  </si>
  <si>
    <t xml:space="preserve">May 2029</t>
  </si>
  <si>
    <t xml:space="preserve">Haz 2029</t>
  </si>
  <si>
    <t xml:space="preserve">Tem 2029</t>
  </si>
  <si>
    <t xml:space="preserve">Ağu 2029</t>
  </si>
  <si>
    <t xml:space="preserve">TOPLAM</t>
  </si>
  <si>
    <t xml:space="preserve">Başlangıç bakiyesi → sütun başı</t>
  </si>
  <si>
    <t xml:space="preserve">Mavi = banka ödeme planından alınan rakamlar (Vakıfbank 25.08.2026, QNB valör 11.08.2026). Tam Çıpa kredisi (değişken faiz) Varsayımlar sayfasındaki oranla formülle hesaplanır.</t>
  </si>
  <si>
    <t xml:space="preserve">KREDİ PORTFÖYÜ ÖZETİ — Bigetaş Biyoteknoloji A.Ş. (25.08.2026 itibarıyla)</t>
  </si>
  <si>
    <t xml:space="preserve">Kaynak: Vakıfbank Tire Şb. ticari kredi ödeme planları (6 adet) ve QNB Bank Ödemiş Şb. ödeme planı (1 adet). Kalan tutarlar Kredi Takvimi sayfasından formülle gelir.</t>
  </si>
  <si>
    <t xml:space="preserve">#</t>
  </si>
  <si>
    <t xml:space="preserve">Banka</t>
  </si>
  <si>
    <t xml:space="preserve">Ürün</t>
  </si>
  <si>
    <t xml:space="preserve">Hesap / Referans</t>
  </si>
  <si>
    <t xml:space="preserve">Kredi tutarı</t>
  </si>
  <si>
    <t xml:space="preserve">Açılış</t>
  </si>
  <si>
    <t xml:space="preserve">Vade (ay)</t>
  </si>
  <si>
    <t xml:space="preserve">Aylık faiz %</t>
  </si>
  <si>
    <t xml:space="preserve">Faiz tipi</t>
  </si>
  <si>
    <t xml:space="preserve">Aylık taksit</t>
  </si>
  <si>
    <t xml:space="preserve">Kalan taksit</t>
  </si>
  <si>
    <t xml:space="preserve">İlk kalan taksit</t>
  </si>
  <si>
    <t xml:space="preserve">Son taksit</t>
  </si>
  <si>
    <t xml:space="preserve">Kalan anapara</t>
  </si>
  <si>
    <t xml:space="preserve">Kalan toplam ödeme</t>
  </si>
  <si>
    <t xml:space="preserve">Kalan faiz+BSMV</t>
  </si>
  <si>
    <t xml:space="preserve">Ödeme günü</t>
  </si>
  <si>
    <t xml:space="preserve">Vakıfbank</t>
  </si>
  <si>
    <t xml:space="preserve">Tam Çıpa Kredisi (değişken faiz: TCMB politika faizi + 4,5)</t>
  </si>
  <si>
    <t xml:space="preserve">6501234486</t>
  </si>
  <si>
    <t xml:space="preserve">21.05.2025</t>
  </si>
  <si>
    <t xml:space="preserve">Değişken</t>
  </si>
  <si>
    <t xml:space="preserve">21.09.2026</t>
  </si>
  <si>
    <t xml:space="preserve">22.05.2028</t>
  </si>
  <si>
    <t xml:space="preserve">Kadın İstihdamı Güçlendirme Kredisi</t>
  </si>
  <si>
    <t xml:space="preserve">6501643201</t>
  </si>
  <si>
    <t xml:space="preserve">05.08.2026</t>
  </si>
  <si>
    <t xml:space="preserve">Sabit</t>
  </si>
  <si>
    <t xml:space="preserve">05.09.2026</t>
  </si>
  <si>
    <t xml:space="preserve">05.08.2029</t>
  </si>
  <si>
    <t xml:space="preserve">QNB Bank</t>
  </si>
  <si>
    <t xml:space="preserve">Taksitli Ticari Kredi (Ödemiş Şb.)</t>
  </si>
  <si>
    <t xml:space="preserve">01421-TT-000000022018</t>
  </si>
  <si>
    <t xml:space="preserve">11.08.2026</t>
  </si>
  <si>
    <t xml:space="preserve">11.09.2026</t>
  </si>
  <si>
    <t xml:space="preserve">11.08.2029</t>
  </si>
  <si>
    <t xml:space="preserve">Tam Esnaf Standart Kredi — 500.000 TL (12 ay ödemesiz)</t>
  </si>
  <si>
    <t xml:space="preserve">6501216448</t>
  </si>
  <si>
    <t xml:space="preserve">29.04.2025</t>
  </si>
  <si>
    <t xml:space="preserve">29.08.2026</t>
  </si>
  <si>
    <t xml:space="preserve">29.05.2029</t>
  </si>
  <si>
    <t xml:space="preserve">Tam Esnaf Standart Kredi — 400.000 TL (3 ay ödemesiz)</t>
  </si>
  <si>
    <t xml:space="preserve">6501493908</t>
  </si>
  <si>
    <t xml:space="preserve">05.02.2026</t>
  </si>
  <si>
    <t xml:space="preserve">05.02.2029</t>
  </si>
  <si>
    <t xml:space="preserve">Trendyol Dijital İşletme İhtiyaç Kredisi</t>
  </si>
  <si>
    <t xml:space="preserve">6501603873</t>
  </si>
  <si>
    <t xml:space="preserve">05.06.2026</t>
  </si>
  <si>
    <t xml:space="preserve">23.09.2026</t>
  </si>
  <si>
    <t xml:space="preserve">23.06.2028</t>
  </si>
  <si>
    <t xml:space="preserve">SKY KOBİ Dijital Kredi</t>
  </si>
  <si>
    <t xml:space="preserve">6501452442</t>
  </si>
  <si>
    <t xml:space="preserve">22.12.2025</t>
  </si>
  <si>
    <t xml:space="preserve">22.09.2026</t>
  </si>
  <si>
    <t xml:space="preserve">22.12.2026</t>
  </si>
  <si>
    <t xml:space="preserve">Notlar</t>
  </si>
  <si>
    <t xml:space="preserve">1) Tam Çıpa kredisi değişken faizli (TCMB politika faizi + %4,5, taban %18). Banka 16–36. taksitleri boş bırakmış; projeksiyon Varsayımlar sayfasındaki faiz oranıyla hesaplanır. TCMB indirdikçe taksit düşer.</t>
  </si>
  <si>
    <t xml:space="preserve">2) Kalan anapara ve ödemeler 25.08.2026 itibarıyla; Tam Esnaf 500k kredisinin 29.08.2026 tarihli 41.163,97 TL taksiti henüz ödenmemiş görünüyor ve takvime Ağu 2026 satırında dahil.</t>
  </si>
  <si>
    <t xml:space="preserve">3) Kadın İstihdamı (05.08.2026) ve QNB (11.08.2026) kredileri yeni kullandırım — toplam 3.000.000 TL; ilk taksitleri Eylül 2026.</t>
  </si>
  <si>
    <t xml:space="preserve">4) Trendyol kredisinin 1. taksiti (34.432,72) ve SKY KOBİ 1–8, Tam Çıpa 1–15, Tam Esnaf 400k 1–4, Tam Esnaf 500k 1–4 taksitleri ödenmiş; takvimde yalnız kalan taksitler var.</t>
  </si>
  <si>
    <t xml:space="preserve">AYLIK NAKİT AKIŞI PROJEKSİYONU — Eyl 2026 → Ağu 2029 (TL, KDV hariç ciro / KDV dahil gider)</t>
  </si>
  <si>
    <t xml:space="preserve">Ciro = Varsayımlar’daki kanal ciroları × senaryo çarpanı × büyüme. Belirli aylara gerçek rakam yazmak istersen 7–10. satırlara mavi yazıyla gir. Diğer girişler / Yatırım satırları elle girilir.</t>
  </si>
  <si>
    <t xml:space="preserve">TL</t>
  </si>
  <si>
    <t xml:space="preserve">36 AY TOPLAM (oran/hedef satırları: ORT.)</t>
  </si>
  <si>
    <t xml:space="preserve">Yıl indeksi (sabit gider artışı için)</t>
  </si>
  <si>
    <t xml:space="preserve">Ciro — E-ticaret</t>
  </si>
  <si>
    <t xml:space="preserve">Ciro — Toptan / fason</t>
  </si>
  <si>
    <t xml:space="preserve">Ciro — Hammadde satışı</t>
  </si>
  <si>
    <t xml:space="preserve">Ciro — Migros</t>
  </si>
  <si>
    <t xml:space="preserve">TOPLAM CİRO (KDV hariç)</t>
  </si>
  <si>
    <t xml:space="preserve">Tahsilat (nakit girişi — kanal vadeleriyle)</t>
  </si>
  <si>
    <t xml:space="preserve">Değişken giderler (hammadde, ambalaj, komisyon, kargo)</t>
  </si>
  <si>
    <t xml:space="preserve">BRÜT KÂR</t>
  </si>
  <si>
    <t xml:space="preserve">Brüt (katkı) marjı %</t>
  </si>
  <si>
    <t xml:space="preserve">Sabit giderler</t>
  </si>
  <si>
    <t xml:space="preserve">  Kira — fabrika (KDV dahil)</t>
  </si>
  <si>
    <t xml:space="preserve">  OSB / site aidatı</t>
  </si>
  <si>
    <t xml:space="preserve">  Personel — mevcut maaşlar (kurucu maaşı dahil)</t>
  </si>
  <si>
    <t xml:space="preserve">  Personel — stopaj / SGK</t>
  </si>
  <si>
    <t xml:space="preserve">  Personel — planlanan part-time</t>
  </si>
  <si>
    <t xml:space="preserve">  Enerji (elektrik, su, gaz)</t>
  </si>
  <si>
    <t xml:space="preserve">  Muhasebe / mali müşavir</t>
  </si>
  <si>
    <t xml:space="preserve">  Yazılım abonelikleri</t>
  </si>
  <si>
    <t xml:space="preserve">  Sigorta (şu an yalnız araç)</t>
  </si>
  <si>
    <t xml:space="preserve">  Bakım-onarım, temizlik, güvenlik</t>
  </si>
  <si>
    <t xml:space="preserve">  İnternet, telefon</t>
  </si>
  <si>
    <t xml:space="preserve">  Belgeler, analiz, sertifika</t>
  </si>
  <si>
    <t xml:space="preserve">  Pazarlama — dijital ajans</t>
  </si>
  <si>
    <t xml:space="preserve">  Reklam bütçesi</t>
  </si>
  <si>
    <t xml:space="preserve">  Banka masrafları</t>
  </si>
  <si>
    <t xml:space="preserve">Toplam sabit gider</t>
  </si>
  <si>
    <t xml:space="preserve">FAVÖK (EBITDA)</t>
  </si>
  <si>
    <t xml:space="preserve">Kredi faizi + BSMV</t>
  </si>
  <si>
    <t xml:space="preserve">Vergi öncesi kâr (amortisman hariç)</t>
  </si>
  <si>
    <t xml:space="preserve">NET KÂR</t>
  </si>
  <si>
    <t xml:space="preserve">Kredi anapara ödemesi</t>
  </si>
  <si>
    <t xml:space="preserve">Net KDV ödemesi</t>
  </si>
  <si>
    <t xml:space="preserve">Diğer girişler (hibe, sermaye, yatırım turu) — elle gir</t>
  </si>
  <si>
    <t xml:space="preserve">Yatırım / diğer çıkışlar (Buca tadilat, makine) — eksi gir</t>
  </si>
  <si>
    <t xml:space="preserve">NET NAKİT AKIŞI</t>
  </si>
  <si>
    <t xml:space="preserve">Dönem başı nakit</t>
  </si>
  <si>
    <t xml:space="preserve">DÖNEM SONU NAKİT</t>
  </si>
  <si>
    <t xml:space="preserve">HEDEF CİRO — sabit gider + kredi taksiti + vergi + tampon karşılayan (mevcut kanal karışımıyla)</t>
  </si>
  <si>
    <t xml:space="preserve">Sadece kredi taksitlerinin gerektirdiği ciro (taksit ÷ marj)</t>
  </si>
  <si>
    <t xml:space="preserve">Mevcut ciro − hedef ciro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</si>
</sst>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0"/>
    <numFmt numFmtId="168" formatCode="0.00"/>
    <numFmt numFmtId="169" formatCode="0.000%"/>
    <numFmt numFmtId="170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0"/>
    <col collapsed="false" customWidth="true" hidden="false" outlineLevel="0" max="5" min="3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C5" s="4"/>
      <c r="D5" s="4"/>
      <c r="E5" s="4"/>
    </row>
    <row r="6" customFormat="false" ht="15" hidden="false" customHeight="false" outlineLevel="0" collapsed="false">
      <c r="A6" s="5" t="s">
        <v>4</v>
      </c>
      <c r="B6" s="6" t="n">
        <f aca="false">Varsayımlar!$B$37</f>
        <v>1650000</v>
      </c>
    </row>
    <row r="7" customFormat="false" ht="15" hidden="false" customHeight="false" outlineLevel="0" collapsed="false">
      <c r="A7" s="5" t="s">
        <v>5</v>
      </c>
      <c r="B7" s="7" t="n">
        <f aca="false">Varsayımlar!$B$5</f>
        <v>0.496969696969697</v>
      </c>
    </row>
    <row r="8" customFormat="false" ht="15" hidden="false" customHeight="false" outlineLevel="0" collapsed="false">
      <c r="A8" s="5" t="s">
        <v>6</v>
      </c>
      <c r="B8" s="6" t="n">
        <f aca="false">'Nakit Akışı'!$B$14</f>
        <v>820000</v>
      </c>
    </row>
    <row r="9" customFormat="false" ht="15" hidden="false" customHeight="false" outlineLevel="0" collapsed="false">
      <c r="A9" s="5" t="s">
        <v>7</v>
      </c>
      <c r="B9" s="6" t="n">
        <f aca="false">Varsayımlar!$B$29</f>
        <v>411000</v>
      </c>
    </row>
    <row r="10" customFormat="false" ht="15" hidden="false" customHeight="false" outlineLevel="0" collapsed="false">
      <c r="A10" s="5" t="s">
        <v>8</v>
      </c>
      <c r="B10" s="6" t="n">
        <f aca="false">'Nakit Akışı'!$B$34</f>
        <v>409000</v>
      </c>
    </row>
    <row r="11" customFormat="false" ht="15" hidden="false" customHeight="false" outlineLevel="0" collapsed="false">
      <c r="A11" s="5" t="s">
        <v>9</v>
      </c>
      <c r="B11" s="6" t="n">
        <f aca="false">'Nakit Akışı'!$B$36+'Nakit Akışı'!$B$41</f>
        <v>-325778.40737799</v>
      </c>
    </row>
    <row r="12" customFormat="false" ht="15" hidden="false" customHeight="false" outlineLevel="0" collapsed="false">
      <c r="A12" s="5" t="s">
        <v>10</v>
      </c>
      <c r="B12" s="6" t="n">
        <f aca="false">'Nakit Akışı'!$B$38</f>
        <v>-49943.5628506417</v>
      </c>
    </row>
    <row r="13" customFormat="false" ht="15" hidden="false" customHeight="false" outlineLevel="0" collapsed="false">
      <c r="A13" s="8" t="s">
        <v>11</v>
      </c>
      <c r="B13" s="9" t="n">
        <f aca="false">'Nakit Akışı'!$B$45</f>
        <v>33278.0297713682</v>
      </c>
    </row>
    <row r="14" customFormat="false" ht="15" hidden="false" customHeight="false" outlineLevel="0" collapsed="false">
      <c r="A14" s="5" t="s">
        <v>12</v>
      </c>
      <c r="B14" s="6" t="n">
        <f aca="false">AVERAGE('Nakit Akışı'!$B$45:$M$45)</f>
        <v>33970.7017621</v>
      </c>
    </row>
    <row r="15" customFormat="false" ht="15" hidden="false" customHeight="false" outlineLevel="0" collapsed="false">
      <c r="A15" s="5" t="s">
        <v>13</v>
      </c>
      <c r="B15" s="6" t="n">
        <f aca="false">'Nakit Akışı'!$X$45</f>
        <v>112862.265</v>
      </c>
    </row>
    <row r="17" customFormat="false" ht="15" hidden="false" customHeight="false" outlineLevel="0" collapsed="false">
      <c r="A17" s="3" t="s">
        <v>14</v>
      </c>
      <c r="B17" s="4"/>
      <c r="C17" s="4"/>
      <c r="D17" s="4"/>
      <c r="E17" s="4"/>
    </row>
    <row r="18" customFormat="false" ht="15" hidden="false" customHeight="false" outlineLevel="0" collapsed="false">
      <c r="A18" s="5" t="s">
        <v>15</v>
      </c>
      <c r="B18" s="6" t="n">
        <f aca="false">'Nakit Akışı'!$B$50</f>
        <v>655529.722163029</v>
      </c>
    </row>
    <row r="19" customFormat="false" ht="15" hidden="false" customHeight="false" outlineLevel="0" collapsed="false">
      <c r="A19" s="8" t="s">
        <v>16</v>
      </c>
      <c r="B19" s="9" t="n">
        <f aca="false">'Nakit Akışı'!$B$49</f>
        <v>1560717.48110121</v>
      </c>
    </row>
    <row r="20" customFormat="false" ht="15" hidden="false" customHeight="false" outlineLevel="0" collapsed="false">
      <c r="A20" s="8" t="s">
        <v>17</v>
      </c>
      <c r="B20" s="9" t="n">
        <f aca="false">'Nakit Akışı'!$B$51</f>
        <v>89282.5188987928</v>
      </c>
    </row>
    <row r="21" customFormat="false" ht="15" hidden="false" customHeight="false" outlineLevel="0" collapsed="false">
      <c r="A21" s="5" t="s">
        <v>18</v>
      </c>
      <c r="B21" s="6" t="n">
        <f aca="false">$B$19*Varsayımlar!$B$33/Varsayımlar!$B$37</f>
        <v>733064.271426325</v>
      </c>
    </row>
    <row r="22" customFormat="false" ht="15" hidden="false" customHeight="false" outlineLevel="0" collapsed="false">
      <c r="A22" s="5" t="s">
        <v>19</v>
      </c>
      <c r="B22" s="6" t="n">
        <f aca="false">$B$19*Varsayımlar!$B$34/Varsayımlar!$B$37</f>
        <v>709417.036864185</v>
      </c>
    </row>
    <row r="23" customFormat="false" ht="15" hidden="false" customHeight="false" outlineLevel="0" collapsed="false">
      <c r="A23" s="5" t="s">
        <v>20</v>
      </c>
      <c r="B23" s="6" t="n">
        <f aca="false">$B$19*Varsayımlar!$B$35/Varsayımlar!$B$37</f>
        <v>70941.7036864185</v>
      </c>
    </row>
    <row r="24" customFormat="false" ht="15" hidden="false" customHeight="false" outlineLevel="0" collapsed="false">
      <c r="A24" s="5" t="s">
        <v>21</v>
      </c>
      <c r="B24" s="6" t="n">
        <f aca="false">$B$19*Varsayımlar!$B$36/Varsayımlar!$B$37</f>
        <v>47294.469124279</v>
      </c>
    </row>
    <row r="25" customFormat="false" ht="15" hidden="false" customHeight="false" outlineLevel="0" collapsed="false">
      <c r="A25" s="5" t="s">
        <v>22</v>
      </c>
      <c r="B25" s="6" t="n">
        <f aca="false">AVERAGE('Nakit Akışı'!$B$49:$M$49)</f>
        <v>1558859.09283339</v>
      </c>
    </row>
    <row r="26" customFormat="false" ht="15" hidden="false" customHeight="false" outlineLevel="0" collapsed="false">
      <c r="A26" s="5" t="s">
        <v>23</v>
      </c>
      <c r="B26" s="6" t="n">
        <f aca="false">AVERAGE('Nakit Akışı'!$F$49:$Q$49)</f>
        <v>1563456.33147441</v>
      </c>
    </row>
    <row r="27" customFormat="false" ht="15" hidden="false" customHeight="false" outlineLevel="0" collapsed="false">
      <c r="A27" s="5" t="s">
        <v>24</v>
      </c>
      <c r="B27" s="6" t="n">
        <f aca="false">AVERAGE('Nakit Akışı'!$R$49:$AC$49)</f>
        <v>1462133.95128923</v>
      </c>
    </row>
    <row r="28" customFormat="false" ht="15" hidden="false" customHeight="false" outlineLevel="0" collapsed="false">
      <c r="A28" s="5" t="s">
        <v>25</v>
      </c>
      <c r="B28" s="6" t="n">
        <f aca="false">AVERAGE('Nakit Akışı'!$AD$49:$AK$49)</f>
        <v>1298335.94016768</v>
      </c>
    </row>
    <row r="30" customFormat="false" ht="15" hidden="false" customHeight="false" outlineLevel="0" collapsed="false">
      <c r="A30" s="3" t="s">
        <v>26</v>
      </c>
      <c r="B30" s="4"/>
      <c r="C30" s="4"/>
      <c r="D30" s="4"/>
      <c r="E30" s="4"/>
    </row>
    <row r="31" customFormat="false" ht="30" hidden="false" customHeight="true" outlineLevel="0" collapsed="false">
      <c r="A31" s="10" t="s">
        <v>27</v>
      </c>
      <c r="B31" s="10" t="s">
        <v>28</v>
      </c>
      <c r="C31" s="10" t="s">
        <v>29</v>
      </c>
      <c r="D31" s="10" t="s">
        <v>30</v>
      </c>
      <c r="E31" s="10" t="s">
        <v>31</v>
      </c>
    </row>
    <row r="32" customFormat="false" ht="15" hidden="false" customHeight="false" outlineLevel="0" collapsed="false">
      <c r="A32" s="11" t="n">
        <v>250000</v>
      </c>
      <c r="B32" s="12" t="n">
        <f aca="false">(Varsayımlar!$B$33*Varsayımlar!$B$9)+$A32+(Varsayımlar!$B$35*Varsayımlar!$B$9)+(Varsayımlar!$B$36*Varsayımlar!$B$9)</f>
        <v>1150000</v>
      </c>
      <c r="C32" s="12" t="n">
        <f aca="false">(((Varsayımlar!$B$33*Varsayımlar!$B$9)*Varsayımlar!$C$33+$A32*Varsayımlar!$C$34+(Varsayımlar!$B$35*Varsayımlar!$B$9)*Varsayımlar!$C$35+(Varsayımlar!$B$36*Varsayımlar!$B$9)*Varsayımlar!$C$36)+'Nakit Akışı'!$B$33+'Nakit Akışı'!$B$36)-MAX(0,(((Varsayımlar!$B$33*Varsayımlar!$B$9)*Varsayımlar!$C$33+$A32*Varsayımlar!$C$34+(Varsayımlar!$B$35*Varsayımlar!$B$9)*Varsayımlar!$C$35+(Varsayımlar!$B$36*Varsayımlar!$B$9)*Varsayımlar!$C$36)+'Nakit Akışı'!$B$33+'Nakit Akışı'!$B$36))*Varsayımlar!$B$7+'Nakit Akışı'!$B$41-((Varsayımlar!$B$33*Varsayımlar!$B$9)+$A32+(Varsayımlar!$B$35*Varsayımlar!$B$9)+(Varsayımlar!$B$36*Varsayımlar!$B$9))*Varsayımlar!$B$6</f>
        <v>-226778.40737799</v>
      </c>
      <c r="D32" s="12" t="n">
        <f aca="false">(((Varsayımlar!$B$33*Varsayımlar!$B$9)*Varsayımlar!$C$33+$A32*Varsayımlar!$C$34+(Varsayımlar!$B$35*Varsayımlar!$B$9)*Varsayımlar!$C$35+(Varsayımlar!$B$36*Varsayımlar!$B$9)*Varsayımlar!$C$36)+AVERAGE('Nakit Akışı'!$F$33:$Q$33)+AVERAGE('Nakit Akışı'!$F$36:$Q$36))-MAX(0,(((Varsayımlar!$B$33*Varsayımlar!$B$9)*Varsayımlar!$C$33+$A32*Varsayımlar!$C$34+(Varsayımlar!$B$35*Varsayımlar!$B$9)*Varsayımlar!$C$35+(Varsayımlar!$B$36*Varsayımlar!$B$9)*Varsayımlar!$C$36)+AVERAGE('Nakit Akışı'!$F$33:$Q$33)+AVERAGE('Nakit Akışı'!$F$36:$Q$36)))*Varsayımlar!$B$7+AVERAGE('Nakit Akışı'!$F$41:$Q$41)-((Varsayımlar!$B$33*Varsayımlar!$B$9)+$A32+(Varsayımlar!$B$35*Varsayımlar!$B$9)+(Varsayımlar!$B$36*Varsayımlar!$B$9))*Varsayımlar!$B$6</f>
        <v>-216220.25737799</v>
      </c>
      <c r="E32" s="12" t="n">
        <f aca="false">(((Varsayımlar!$B$33*Varsayımlar!$B$9)*Varsayımlar!$C$33+$A32*Varsayımlar!$C$34+(Varsayımlar!$B$35*Varsayımlar!$B$9)*Varsayımlar!$C$35+(Varsayımlar!$B$36*Varsayımlar!$B$9)*Varsayımlar!$C$36)+'Nakit Akışı'!$X$33+'Nakit Akışı'!$X$36)-MAX(0,(((Varsayımlar!$B$33*Varsayımlar!$B$9)*Varsayımlar!$C$33+$A32*Varsayımlar!$C$34+(Varsayımlar!$B$35*Varsayımlar!$B$9)*Varsayımlar!$C$35+(Varsayımlar!$B$36*Varsayımlar!$B$9)*Varsayımlar!$C$36)+'Nakit Akışı'!$X$33+'Nakit Akışı'!$X$36))*Varsayımlar!$B$7+'Nakit Akışı'!$X$41-((Varsayımlar!$B$33*Varsayımlar!$B$9)+$A32+(Varsayımlar!$B$35*Varsayımlar!$B$9)+(Varsayımlar!$B$36*Varsayımlar!$B$9))*Varsayımlar!$B$6</f>
        <v>-119637.735</v>
      </c>
    </row>
    <row r="33" customFormat="false" ht="15" hidden="false" customHeight="false" outlineLevel="0" collapsed="false">
      <c r="A33" s="11" t="n">
        <v>500000</v>
      </c>
      <c r="B33" s="12" t="n">
        <f aca="false">(Varsayımlar!$B$33*Varsayımlar!$B$9)+$A33+(Varsayımlar!$B$35*Varsayımlar!$B$9)+(Varsayımlar!$B$36*Varsayımlar!$B$9)</f>
        <v>1400000</v>
      </c>
      <c r="C33" s="12" t="n">
        <f aca="false">(((Varsayımlar!$B$33*Varsayımlar!$B$9)*Varsayımlar!$C$33+$A33*Varsayımlar!$C$34+(Varsayımlar!$B$35*Varsayımlar!$B$9)*Varsayımlar!$C$35+(Varsayımlar!$B$36*Varsayımlar!$B$9)*Varsayımlar!$C$36)+'Nakit Akışı'!$B$33+'Nakit Akışı'!$B$36)-MAX(0,(((Varsayımlar!$B$33*Varsayımlar!$B$9)*Varsayımlar!$C$33+$A33*Varsayımlar!$C$34+(Varsayımlar!$B$35*Varsayımlar!$B$9)*Varsayımlar!$C$35+(Varsayımlar!$B$36*Varsayımlar!$B$9)*Varsayımlar!$C$36)+'Nakit Akışı'!$B$33+'Nakit Akışı'!$B$36))*Varsayımlar!$B$7+'Nakit Akışı'!$B$41-((Varsayımlar!$B$33*Varsayımlar!$B$9)+$A33+(Varsayımlar!$B$35*Varsayımlar!$B$9)+(Varsayımlar!$B$36*Varsayımlar!$B$9))*Varsayımlar!$B$6</f>
        <v>-82971.9702286318</v>
      </c>
      <c r="D33" s="12" t="n">
        <f aca="false">(((Varsayımlar!$B$33*Varsayımlar!$B$9)*Varsayımlar!$C$33+$A33*Varsayımlar!$C$34+(Varsayımlar!$B$35*Varsayımlar!$B$9)*Varsayımlar!$C$35+(Varsayımlar!$B$36*Varsayımlar!$B$9)*Varsayımlar!$C$36)+AVERAGE('Nakit Akışı'!$F$33:$Q$33)+AVERAGE('Nakit Akışı'!$F$36:$Q$36))-MAX(0,(((Varsayımlar!$B$33*Varsayımlar!$B$9)*Varsayımlar!$C$33+$A33*Varsayımlar!$C$34+(Varsayımlar!$B$35*Varsayımlar!$B$9)*Varsayımlar!$C$35+(Varsayımlar!$B$36*Varsayımlar!$B$9)*Varsayımlar!$C$36)+AVERAGE('Nakit Akışı'!$F$33:$Q$33)+AVERAGE('Nakit Akışı'!$F$36:$Q$36)))*Varsayımlar!$B$7+AVERAGE('Nakit Akışı'!$F$41:$Q$41)-((Varsayımlar!$B$33*Varsayımlar!$B$9)+$A33+(Varsayımlar!$B$35*Varsayımlar!$B$9)+(Varsayımlar!$B$36*Varsayımlar!$B$9))*Varsayımlar!$B$6</f>
        <v>-83992.8144586442</v>
      </c>
      <c r="E33" s="12" t="n">
        <f aca="false">(((Varsayımlar!$B$33*Varsayımlar!$B$9)*Varsayımlar!$C$33+$A33*Varsayımlar!$C$34+(Varsayımlar!$B$35*Varsayımlar!$B$9)*Varsayımlar!$C$35+(Varsayımlar!$B$36*Varsayımlar!$B$9)*Varsayımlar!$C$36)+'Nakit Akışı'!$X$33+'Nakit Akışı'!$X$36)-MAX(0,(((Varsayımlar!$B$33*Varsayımlar!$B$9)*Varsayımlar!$C$33+$A33*Varsayımlar!$C$34+(Varsayımlar!$B$35*Varsayımlar!$B$9)*Varsayımlar!$C$35+(Varsayımlar!$B$36*Varsayımlar!$B$9)*Varsayımlar!$C$36)+'Nakit Akışı'!$X$33+'Nakit Akışı'!$X$36))*Varsayımlar!$B$7+'Nakit Akışı'!$X$41-((Varsayımlar!$B$33*Varsayımlar!$B$9)+$A33+(Varsayımlar!$B$35*Varsayımlar!$B$9)+(Varsayımlar!$B$36*Varsayımlar!$B$9))*Varsayımlar!$B$6</f>
        <v>-3387.735</v>
      </c>
    </row>
    <row r="34" customFormat="false" ht="15" hidden="false" customHeight="false" outlineLevel="0" collapsed="false">
      <c r="A34" s="11" t="n">
        <v>750000</v>
      </c>
      <c r="B34" s="12" t="n">
        <f aca="false">(Varsayımlar!$B$33*Varsayımlar!$B$9)+$A34+(Varsayımlar!$B$35*Varsayımlar!$B$9)+(Varsayımlar!$B$36*Varsayımlar!$B$9)</f>
        <v>1650000</v>
      </c>
      <c r="C34" s="12" t="n">
        <f aca="false">(((Varsayımlar!$B$33*Varsayımlar!$B$9)*Varsayımlar!$C$33+$A34*Varsayımlar!$C$34+(Varsayımlar!$B$35*Varsayımlar!$B$9)*Varsayımlar!$C$35+(Varsayımlar!$B$36*Varsayımlar!$B$9)*Varsayımlar!$C$36)+'Nakit Akışı'!$B$33+'Nakit Akışı'!$B$36)-MAX(0,(((Varsayımlar!$B$33*Varsayımlar!$B$9)*Varsayımlar!$C$33+$A34*Varsayımlar!$C$34+(Varsayımlar!$B$35*Varsayımlar!$B$9)*Varsayımlar!$C$35+(Varsayımlar!$B$36*Varsayımlar!$B$9)*Varsayımlar!$C$36)+'Nakit Akışı'!$B$33+'Nakit Akışı'!$B$36))*Varsayımlar!$B$7+'Nakit Akışı'!$B$41-((Varsayımlar!$B$33*Varsayımlar!$B$9)+$A34+(Varsayımlar!$B$35*Varsayımlar!$B$9)+(Varsayımlar!$B$36*Varsayımlar!$B$9))*Varsayımlar!$B$6</f>
        <v>33278.0297713682</v>
      </c>
      <c r="D34" s="12" t="n">
        <f aca="false">(((Varsayımlar!$B$33*Varsayımlar!$B$9)*Varsayımlar!$C$33+$A34*Varsayımlar!$C$34+(Varsayımlar!$B$35*Varsayımlar!$B$9)*Varsayımlar!$C$35+(Varsayımlar!$B$36*Varsayımlar!$B$9)*Varsayımlar!$C$36)+AVERAGE('Nakit Akışı'!$F$33:$Q$33)+AVERAGE('Nakit Akışı'!$F$36:$Q$36))-MAX(0,(((Varsayımlar!$B$33*Varsayımlar!$B$9)*Varsayımlar!$C$33+$A34*Varsayımlar!$C$34+(Varsayımlar!$B$35*Varsayımlar!$B$9)*Varsayımlar!$C$35+(Varsayımlar!$B$36*Varsayımlar!$B$9)*Varsayımlar!$C$36)+AVERAGE('Nakit Akışı'!$F$33:$Q$33)+AVERAGE('Nakit Akışı'!$F$36:$Q$36)))*Varsayımlar!$B$7+AVERAGE('Nakit Akışı'!$F$41:$Q$41)-((Varsayımlar!$B$33*Varsayımlar!$B$9)+$A34+(Varsayımlar!$B$35*Varsayımlar!$B$9)+(Varsayımlar!$B$36*Varsayımlar!$B$9))*Varsayımlar!$B$6</f>
        <v>32257.1855413558</v>
      </c>
      <c r="E34" s="12" t="n">
        <f aca="false">(((Varsayımlar!$B$33*Varsayımlar!$B$9)*Varsayımlar!$C$33+$A34*Varsayımlar!$C$34+(Varsayımlar!$B$35*Varsayımlar!$B$9)*Varsayımlar!$C$35+(Varsayımlar!$B$36*Varsayımlar!$B$9)*Varsayımlar!$C$36)+'Nakit Akışı'!$X$33+'Nakit Akışı'!$X$36)-MAX(0,(((Varsayımlar!$B$33*Varsayımlar!$B$9)*Varsayımlar!$C$33+$A34*Varsayımlar!$C$34+(Varsayımlar!$B$35*Varsayımlar!$B$9)*Varsayımlar!$C$35+(Varsayımlar!$B$36*Varsayımlar!$B$9)*Varsayımlar!$C$36)+'Nakit Akışı'!$X$33+'Nakit Akışı'!$X$36))*Varsayımlar!$B$7+'Nakit Akışı'!$X$41-((Varsayımlar!$B$33*Varsayımlar!$B$9)+$A34+(Varsayımlar!$B$35*Varsayımlar!$B$9)+(Varsayımlar!$B$36*Varsayımlar!$B$9))*Varsayımlar!$B$6</f>
        <v>112862.265</v>
      </c>
    </row>
    <row r="35" customFormat="false" ht="15" hidden="false" customHeight="false" outlineLevel="0" collapsed="false">
      <c r="A35" s="11" t="n">
        <v>1000000</v>
      </c>
      <c r="B35" s="12" t="n">
        <f aca="false">(Varsayımlar!$B$33*Varsayımlar!$B$9)+$A35+(Varsayımlar!$B$35*Varsayımlar!$B$9)+(Varsayımlar!$B$36*Varsayımlar!$B$9)</f>
        <v>1900000</v>
      </c>
      <c r="C35" s="12" t="n">
        <f aca="false">(((Varsayımlar!$B$33*Varsayımlar!$B$9)*Varsayımlar!$C$33+$A35*Varsayımlar!$C$34+(Varsayımlar!$B$35*Varsayımlar!$B$9)*Varsayımlar!$C$35+(Varsayımlar!$B$36*Varsayımlar!$B$9)*Varsayımlar!$C$36)+'Nakit Akışı'!$B$33+'Nakit Akışı'!$B$36)-MAX(0,(((Varsayımlar!$B$33*Varsayımlar!$B$9)*Varsayımlar!$C$33+$A35*Varsayımlar!$C$34+(Varsayımlar!$B$35*Varsayımlar!$B$9)*Varsayımlar!$C$35+(Varsayımlar!$B$36*Varsayımlar!$B$9)*Varsayımlar!$C$36)+'Nakit Akışı'!$B$33+'Nakit Akışı'!$B$36))*Varsayımlar!$B$7+'Nakit Akışı'!$B$41-((Varsayımlar!$B$33*Varsayımlar!$B$9)+$A35+(Varsayımlar!$B$35*Varsayımlar!$B$9)+(Varsayımlar!$B$36*Varsayımlar!$B$9))*Varsayımlar!$B$6</f>
        <v>149528.029771368</v>
      </c>
      <c r="D35" s="12" t="n">
        <f aca="false">(((Varsayımlar!$B$33*Varsayımlar!$B$9)*Varsayımlar!$C$33+$A35*Varsayımlar!$C$34+(Varsayımlar!$B$35*Varsayımlar!$B$9)*Varsayımlar!$C$35+(Varsayımlar!$B$36*Varsayımlar!$B$9)*Varsayımlar!$C$36)+AVERAGE('Nakit Akışı'!$F$33:$Q$33)+AVERAGE('Nakit Akışı'!$F$36:$Q$36))-MAX(0,(((Varsayımlar!$B$33*Varsayımlar!$B$9)*Varsayımlar!$C$33+$A35*Varsayımlar!$C$34+(Varsayımlar!$B$35*Varsayımlar!$B$9)*Varsayımlar!$C$35+(Varsayımlar!$B$36*Varsayımlar!$B$9)*Varsayımlar!$C$36)+AVERAGE('Nakit Akışı'!$F$33:$Q$33)+AVERAGE('Nakit Akışı'!$F$36:$Q$36)))*Varsayımlar!$B$7+AVERAGE('Nakit Akışı'!$F$41:$Q$41)-((Varsayımlar!$B$33*Varsayımlar!$B$9)+$A35+(Varsayımlar!$B$35*Varsayımlar!$B$9)+(Varsayımlar!$B$36*Varsayımlar!$B$9))*Varsayımlar!$B$6</f>
        <v>148507.185541356</v>
      </c>
      <c r="E35" s="12" t="n">
        <f aca="false">(((Varsayımlar!$B$33*Varsayımlar!$B$9)*Varsayımlar!$C$33+$A35*Varsayımlar!$C$34+(Varsayımlar!$B$35*Varsayımlar!$B$9)*Varsayımlar!$C$35+(Varsayımlar!$B$36*Varsayımlar!$B$9)*Varsayımlar!$C$36)+'Nakit Akışı'!$X$33+'Nakit Akışı'!$X$36)-MAX(0,(((Varsayımlar!$B$33*Varsayımlar!$B$9)*Varsayımlar!$C$33+$A35*Varsayımlar!$C$34+(Varsayımlar!$B$35*Varsayımlar!$B$9)*Varsayımlar!$C$35+(Varsayımlar!$B$36*Varsayımlar!$B$9)*Varsayımlar!$C$36)+'Nakit Akışı'!$X$33+'Nakit Akışı'!$X$36))*Varsayımlar!$B$7+'Nakit Akışı'!$X$41-((Varsayımlar!$B$33*Varsayımlar!$B$9)+$A35+(Varsayımlar!$B$35*Varsayımlar!$B$9)+(Varsayımlar!$B$36*Varsayımlar!$B$9))*Varsayımlar!$B$6</f>
        <v>229112.265</v>
      </c>
    </row>
    <row r="36" customFormat="false" ht="15" hidden="false" customHeight="false" outlineLevel="0" collapsed="false">
      <c r="A36" s="11" t="n">
        <v>1250000</v>
      </c>
      <c r="B36" s="12" t="n">
        <f aca="false">(Varsayımlar!$B$33*Varsayımlar!$B$9)+$A36+(Varsayımlar!$B$35*Varsayımlar!$B$9)+(Varsayımlar!$B$36*Varsayımlar!$B$9)</f>
        <v>2150000</v>
      </c>
      <c r="C36" s="12" t="n">
        <f aca="false">(((Varsayımlar!$B$33*Varsayımlar!$B$9)*Varsayımlar!$C$33+$A36*Varsayımlar!$C$34+(Varsayımlar!$B$35*Varsayımlar!$B$9)*Varsayımlar!$C$35+(Varsayımlar!$B$36*Varsayımlar!$B$9)*Varsayımlar!$C$36)+'Nakit Akışı'!$B$33+'Nakit Akışı'!$B$36)-MAX(0,(((Varsayımlar!$B$33*Varsayımlar!$B$9)*Varsayımlar!$C$33+$A36*Varsayımlar!$C$34+(Varsayımlar!$B$35*Varsayımlar!$B$9)*Varsayımlar!$C$35+(Varsayımlar!$B$36*Varsayımlar!$B$9)*Varsayımlar!$C$36)+'Nakit Akışı'!$B$33+'Nakit Akışı'!$B$36))*Varsayımlar!$B$7+'Nakit Akışı'!$B$41-((Varsayımlar!$B$33*Varsayımlar!$B$9)+$A36+(Varsayımlar!$B$35*Varsayımlar!$B$9)+(Varsayımlar!$B$36*Varsayımlar!$B$9))*Varsayımlar!$B$6</f>
        <v>265778.029771368</v>
      </c>
      <c r="D36" s="12" t="n">
        <f aca="false">(((Varsayımlar!$B$33*Varsayımlar!$B$9)*Varsayımlar!$C$33+$A36*Varsayımlar!$C$34+(Varsayımlar!$B$35*Varsayımlar!$B$9)*Varsayımlar!$C$35+(Varsayımlar!$B$36*Varsayımlar!$B$9)*Varsayımlar!$C$36)+AVERAGE('Nakit Akışı'!$F$33:$Q$33)+AVERAGE('Nakit Akışı'!$F$36:$Q$36))-MAX(0,(((Varsayımlar!$B$33*Varsayımlar!$B$9)*Varsayımlar!$C$33+$A36*Varsayımlar!$C$34+(Varsayımlar!$B$35*Varsayımlar!$B$9)*Varsayımlar!$C$35+(Varsayımlar!$B$36*Varsayımlar!$B$9)*Varsayımlar!$C$36)+AVERAGE('Nakit Akışı'!$F$33:$Q$33)+AVERAGE('Nakit Akışı'!$F$36:$Q$36)))*Varsayımlar!$B$7+AVERAGE('Nakit Akışı'!$F$41:$Q$41)-((Varsayımlar!$B$33*Varsayımlar!$B$9)+$A36+(Varsayımlar!$B$35*Varsayımlar!$B$9)+(Varsayımlar!$B$36*Varsayımlar!$B$9))*Varsayımlar!$B$6</f>
        <v>264757.185541356</v>
      </c>
      <c r="E36" s="12" t="n">
        <f aca="false">(((Varsayımlar!$B$33*Varsayımlar!$B$9)*Varsayımlar!$C$33+$A36*Varsayımlar!$C$34+(Varsayımlar!$B$35*Varsayımlar!$B$9)*Varsayımlar!$C$35+(Varsayımlar!$B$36*Varsayımlar!$B$9)*Varsayımlar!$C$36)+'Nakit Akışı'!$X$33+'Nakit Akışı'!$X$36)-MAX(0,(((Varsayımlar!$B$33*Varsayımlar!$B$9)*Varsayımlar!$C$33+$A36*Varsayımlar!$C$34+(Varsayımlar!$B$35*Varsayımlar!$B$9)*Varsayımlar!$C$35+(Varsayımlar!$B$36*Varsayımlar!$B$9)*Varsayımlar!$C$36)+'Nakit Akışı'!$X$33+'Nakit Akışı'!$X$36))*Varsayımlar!$B$7+'Nakit Akışı'!$X$41-((Varsayımlar!$B$33*Varsayımlar!$B$9)+$A36+(Varsayımlar!$B$35*Varsayımlar!$B$9)+(Varsayımlar!$B$36*Varsayımlar!$B$9))*Varsayımlar!$B$6</f>
        <v>345362.265</v>
      </c>
    </row>
    <row r="38" customFormat="false" ht="15" hidden="false" customHeight="false" outlineLevel="0" collapsed="false">
      <c r="A38" s="3" t="s">
        <v>32</v>
      </c>
      <c r="B38" s="4"/>
      <c r="C38" s="4"/>
      <c r="D38" s="4"/>
      <c r="E38" s="4"/>
    </row>
    <row r="39" customFormat="false" ht="30" hidden="false" customHeight="true" outlineLevel="0" collapsed="false">
      <c r="A39" s="10" t="s">
        <v>33</v>
      </c>
      <c r="B39" s="10" t="s">
        <v>34</v>
      </c>
      <c r="C39" s="10" t="s">
        <v>35</v>
      </c>
      <c r="D39" s="10" t="s">
        <v>36</v>
      </c>
      <c r="E39" s="10" t="s">
        <v>37</v>
      </c>
    </row>
    <row r="40" customFormat="false" ht="15" hidden="false" customHeight="false" outlineLevel="0" collapsed="false">
      <c r="A40" s="13" t="n">
        <v>0.35</v>
      </c>
      <c r="B40" s="12" t="n">
        <f aca="false">INDEX('Kredi Takvimi'!$Y$4:$Y$40,MATCH("Eyl 2026",'Kredi Takvimi'!$A$4:$A$40,0))/$A40</f>
        <v>930795.449651401</v>
      </c>
      <c r="C40" s="12" t="n">
        <f aca="false">IF(($A40*(1-Varsayımlar!$B$7)-Varsayımlar!$B$6)&gt;0,((-'Nakit Akışı'!$B$41+Varsayımlar!$B$8)+(-'Nakit Akışı'!$B$33-'Nakit Akışı'!$B$36)*(1-Varsayımlar!$B$7))/($A40*(1-Varsayımlar!$B$7)-Varsayımlar!$B$6),0)</f>
        <v>2216083.69610907</v>
      </c>
      <c r="D40" s="12" t="n">
        <f aca="false">IF(($A40*(1-Varsayımlar!$B$7)-Varsayımlar!$B$6)&gt;0,((-AVERAGE('Nakit Akışı'!$F$41:$Q$41)+Varsayımlar!$B$8)+(-AVERAGE('Nakit Akışı'!$F$33:$Q$33)-AVERAGE('Nakit Akışı'!$F$36:$Q$36))*(1-Varsayımlar!$B$7))/($A40*(1-Varsayımlar!$B$7)-Varsayımlar!$B$6),0)</f>
        <v>2219972.62650912</v>
      </c>
      <c r="E40" s="12" t="n">
        <f aca="false">IF(($A40*(1-Varsayımlar!$B$7)-Varsayımlar!$B$6)&gt;0,((-'Nakit Akışı'!$X$41+Varsayımlar!$B$8)+(-'Nakit Akışı'!$X$33-'Nakit Akışı'!$X$36)*(1-Varsayımlar!$B$7))/($A40*(1-Varsayımlar!$B$7)-Varsayımlar!$B$6),0)</f>
        <v>1912905.65714286</v>
      </c>
    </row>
    <row r="41" customFormat="false" ht="15" hidden="false" customHeight="false" outlineLevel="0" collapsed="false">
      <c r="A41" s="13" t="n">
        <v>0.4</v>
      </c>
      <c r="B41" s="12" t="n">
        <f aca="false">INDEX('Kredi Takvimi'!$Y$4:$Y$40,MATCH("Eyl 2026",'Kredi Takvimi'!$A$4:$A$40,0))/$A41</f>
        <v>814446.018444976</v>
      </c>
      <c r="C41" s="12" t="n">
        <f aca="false">IF(($A41*(1-Varsayımlar!$B$7)-Varsayımlar!$B$6)&gt;0,((-'Nakit Akışı'!$B$41+Varsayımlar!$B$8)+(-'Nakit Akışı'!$B$33-'Nakit Akışı'!$B$36)*(1-Varsayımlar!$B$7))/($A41*(1-Varsayımlar!$B$7)-Varsayımlar!$B$6),0)</f>
        <v>1939073.23409544</v>
      </c>
      <c r="D41" s="12" t="n">
        <f aca="false">IF(($A41*(1-Varsayımlar!$B$7)-Varsayımlar!$B$6)&gt;0,((-AVERAGE('Nakit Akışı'!$F$41:$Q$41)+Varsayımlar!$B$8)+(-AVERAGE('Nakit Akışı'!$F$33:$Q$33)-AVERAGE('Nakit Akışı'!$F$36:$Q$36))*(1-Varsayımlar!$B$7))/($A41*(1-Varsayımlar!$B$7)-Varsayımlar!$B$6),0)</f>
        <v>1942476.04819548</v>
      </c>
      <c r="E41" s="12" t="n">
        <f aca="false">IF(($A41*(1-Varsayımlar!$B$7)-Varsayımlar!$B$6)&gt;0,((-'Nakit Akışı'!$X$41+Varsayımlar!$B$8)+(-'Nakit Akışı'!$X$33-'Nakit Akışı'!$X$36)*(1-Varsayımlar!$B$7))/($A41*(1-Varsayımlar!$B$7)-Varsayımlar!$B$6),0)</f>
        <v>1673792.45</v>
      </c>
    </row>
    <row r="42" customFormat="false" ht="15" hidden="false" customHeight="false" outlineLevel="0" collapsed="false">
      <c r="A42" s="13" t="n">
        <v>0.45</v>
      </c>
      <c r="B42" s="12" t="n">
        <f aca="false">INDEX('Kredi Takvimi'!$Y$4:$Y$40,MATCH("Eyl 2026",'Kredi Takvimi'!$A$4:$A$40,0))/$A42</f>
        <v>723952.016395534</v>
      </c>
      <c r="C42" s="12" t="n">
        <f aca="false">IF(($A42*(1-Varsayımlar!$B$7)-Varsayımlar!$B$6)&gt;0,((-'Nakit Akışı'!$B$41+Varsayımlar!$B$8)+(-'Nakit Akışı'!$B$33-'Nakit Akışı'!$B$36)*(1-Varsayımlar!$B$7))/($A42*(1-Varsayımlar!$B$7)-Varsayımlar!$B$6),0)</f>
        <v>1723620.65252928</v>
      </c>
      <c r="D42" s="12" t="n">
        <f aca="false">IF(($A42*(1-Varsayımlar!$B$7)-Varsayımlar!$B$6)&gt;0,((-AVERAGE('Nakit Akışı'!$F$41:$Q$41)+Varsayımlar!$B$8)+(-AVERAGE('Nakit Akışı'!$F$33:$Q$33)-AVERAGE('Nakit Akışı'!$F$36:$Q$36))*(1-Varsayımlar!$B$7))/($A42*(1-Varsayımlar!$B$7)-Varsayımlar!$B$6),0)</f>
        <v>1726645.37617376</v>
      </c>
      <c r="E42" s="12" t="n">
        <f aca="false">IF(($A42*(1-Varsayımlar!$B$7)-Varsayımlar!$B$6)&gt;0,((-'Nakit Akışı'!$X$41+Varsayımlar!$B$8)+(-'Nakit Akışı'!$X$33-'Nakit Akışı'!$X$36)*(1-Varsayımlar!$B$7))/($A42*(1-Varsayımlar!$B$7)-Varsayımlar!$B$6),0)</f>
        <v>1487815.51111111</v>
      </c>
    </row>
    <row r="43" customFormat="false" ht="15" hidden="false" customHeight="false" outlineLevel="0" collapsed="false">
      <c r="A43" s="13" t="n">
        <v>0.5</v>
      </c>
      <c r="B43" s="12" t="n">
        <f aca="false">INDEX('Kredi Takvimi'!$Y$4:$Y$40,MATCH("Eyl 2026",'Kredi Takvimi'!$A$4:$A$40,0))/$A43</f>
        <v>651556.81475598</v>
      </c>
      <c r="C43" s="12" t="n">
        <f aca="false">IF(($A43*(1-Varsayımlar!$B$7)-Varsayımlar!$B$6)&gt;0,((-'Nakit Akışı'!$B$41+Varsayımlar!$B$8)+(-'Nakit Akışı'!$B$33-'Nakit Akışı'!$B$36)*(1-Varsayımlar!$B$7))/($A43*(1-Varsayımlar!$B$7)-Varsayımlar!$B$6),0)</f>
        <v>1551258.58727635</v>
      </c>
      <c r="D43" s="12" t="n">
        <f aca="false">IF(($A43*(1-Varsayımlar!$B$7)-Varsayımlar!$B$6)&gt;0,((-AVERAGE('Nakit Akışı'!$F$41:$Q$41)+Varsayımlar!$B$8)+(-AVERAGE('Nakit Akışı'!$F$33:$Q$33)-AVERAGE('Nakit Akışı'!$F$36:$Q$36))*(1-Varsayımlar!$B$7))/($A43*(1-Varsayımlar!$B$7)-Varsayımlar!$B$6),0)</f>
        <v>1553980.83855638</v>
      </c>
      <c r="E43" s="12" t="n">
        <f aca="false">IF(($A43*(1-Varsayımlar!$B$7)-Varsayımlar!$B$6)&gt;0,((-'Nakit Akışı'!$X$41+Varsayımlar!$B$8)+(-'Nakit Akışı'!$X$33-'Nakit Akışı'!$X$36)*(1-Varsayımlar!$B$7))/($A43*(1-Varsayımlar!$B$7)-Varsayımlar!$B$6),0)</f>
        <v>1339033.96</v>
      </c>
    </row>
    <row r="44" customFormat="false" ht="15" hidden="false" customHeight="false" outlineLevel="0" collapsed="false">
      <c r="A44" s="13" t="n">
        <v>0.55</v>
      </c>
      <c r="B44" s="12" t="n">
        <f aca="false">INDEX('Kredi Takvimi'!$Y$4:$Y$40,MATCH("Eyl 2026",'Kredi Takvimi'!$A$4:$A$40,0))/$A44</f>
        <v>592324.377050891</v>
      </c>
      <c r="C44" s="12" t="n">
        <f aca="false">IF(($A44*(1-Varsayımlar!$B$7)-Varsayımlar!$B$6)&gt;0,((-'Nakit Akışı'!$B$41+Varsayımlar!$B$8)+(-'Nakit Akışı'!$B$33-'Nakit Akışı'!$B$36)*(1-Varsayımlar!$B$7))/($A44*(1-Varsayımlar!$B$7)-Varsayımlar!$B$6),0)</f>
        <v>1410235.07934214</v>
      </c>
      <c r="D44" s="12" t="n">
        <f aca="false">IF(($A44*(1-Varsayımlar!$B$7)-Varsayımlar!$B$6)&gt;0,((-AVERAGE('Nakit Akışı'!$F$41:$Q$41)+Varsayımlar!$B$8)+(-AVERAGE('Nakit Akışı'!$F$33:$Q$33)-AVERAGE('Nakit Akışı'!$F$36:$Q$36))*(1-Varsayımlar!$B$7))/($A44*(1-Varsayımlar!$B$7)-Varsayımlar!$B$6),0)</f>
        <v>1412709.85323308</v>
      </c>
      <c r="E44" s="12" t="n">
        <f aca="false">IF(($A44*(1-Varsayımlar!$B$7)-Varsayımlar!$B$6)&gt;0,((-'Nakit Akışı'!$X$41+Varsayımlar!$B$8)+(-'Nakit Akışı'!$X$33-'Nakit Akışı'!$X$36)*(1-Varsayımlar!$B$7))/($A44*(1-Varsayımlar!$B$7)-Varsayımlar!$B$6),0)</f>
        <v>1217303.6</v>
      </c>
    </row>
    <row r="45" customFormat="false" ht="15" hidden="false" customHeight="false" outlineLevel="0" collapsed="false">
      <c r="A45" s="13" t="n">
        <v>0.6</v>
      </c>
      <c r="B45" s="12" t="n">
        <f aca="false">INDEX('Kredi Takvimi'!$Y$4:$Y$40,MATCH("Eyl 2026",'Kredi Takvimi'!$A$4:$A$40,0))/$A45</f>
        <v>542964.01229665</v>
      </c>
      <c r="C45" s="12" t="n">
        <f aca="false">IF(($A45*(1-Varsayımlar!$B$7)-Varsayımlar!$B$6)&gt;0,((-'Nakit Akışı'!$B$41+Varsayımlar!$B$8)+(-'Nakit Akışı'!$B$33-'Nakit Akışı'!$B$36)*(1-Varsayımlar!$B$7))/($A45*(1-Varsayımlar!$B$7)-Varsayımlar!$B$6),0)</f>
        <v>1292715.48939696</v>
      </c>
      <c r="D45" s="12" t="n">
        <f aca="false">IF(($A45*(1-Varsayımlar!$B$7)-Varsayımlar!$B$6)&gt;0,((-AVERAGE('Nakit Akışı'!$F$41:$Q$41)+Varsayımlar!$B$8)+(-AVERAGE('Nakit Akışı'!$F$33:$Q$33)-AVERAGE('Nakit Akışı'!$F$36:$Q$36))*(1-Varsayımlar!$B$7))/($A45*(1-Varsayımlar!$B$7)-Varsayımlar!$B$6),0)</f>
        <v>1294984.03213032</v>
      </c>
      <c r="E45" s="12" t="n">
        <f aca="false">IF(($A45*(1-Varsayımlar!$B$7)-Varsayımlar!$B$6)&gt;0,((-'Nakit Akışı'!$X$41+Varsayımlar!$B$8)+(-'Nakit Akışı'!$X$33-'Nakit Akışı'!$X$36)*(1-Varsayımlar!$B$7))/($A45*(1-Varsayımlar!$B$7)-Varsayımlar!$B$6),0)</f>
        <v>1115861.63333333</v>
      </c>
    </row>
    <row r="46" customFormat="false" ht="15" hidden="false" customHeight="false" outlineLevel="0" collapsed="false">
      <c r="A46" s="13" t="n">
        <v>0.65</v>
      </c>
      <c r="B46" s="12" t="n">
        <f aca="false">INDEX('Kredi Takvimi'!$Y$4:$Y$40,MATCH("Eyl 2026",'Kredi Takvimi'!$A$4:$A$40,0))/$A46</f>
        <v>501197.549812293</v>
      </c>
      <c r="C46" s="12" t="n">
        <f aca="false">IF(($A46*(1-Varsayımlar!$B$7)-Varsayımlar!$B$6)&gt;0,((-'Nakit Akışı'!$B$41+Varsayımlar!$B$8)+(-'Nakit Akışı'!$B$33-'Nakit Akışı'!$B$36)*(1-Varsayımlar!$B$7))/($A46*(1-Varsayımlar!$B$7)-Varsayımlar!$B$6),0)</f>
        <v>1193275.83636642</v>
      </c>
      <c r="D46" s="12" t="n">
        <f aca="false">IF(($A46*(1-Varsayımlar!$B$7)-Varsayımlar!$B$6)&gt;0,((-AVERAGE('Nakit Akışı'!$F$41:$Q$41)+Varsayımlar!$B$8)+(-AVERAGE('Nakit Akışı'!$F$33:$Q$33)-AVERAGE('Nakit Akışı'!$F$36:$Q$36))*(1-Varsayımlar!$B$7))/($A46*(1-Varsayımlar!$B$7)-Varsayımlar!$B$6),0)</f>
        <v>1195369.8758126</v>
      </c>
      <c r="E46" s="12" t="n">
        <f aca="false">IF(($A46*(1-Varsayımlar!$B$7)-Varsayımlar!$B$6)&gt;0,((-'Nakit Akışı'!$X$41+Varsayımlar!$B$8)+(-'Nakit Akışı'!$X$33-'Nakit Akışı'!$X$36)*(1-Varsayımlar!$B$7))/($A46*(1-Varsayımlar!$B$7)-Varsayımlar!$B$6),0)</f>
        <v>1030026.12307692</v>
      </c>
    </row>
    <row r="48" customFormat="false" ht="15" hidden="false" customHeight="false" outlineLevel="0" collapsed="false">
      <c r="A48" s="3" t="s">
        <v>38</v>
      </c>
      <c r="B48" s="4"/>
      <c r="C48" s="4"/>
      <c r="D48" s="4"/>
      <c r="E48" s="4"/>
    </row>
    <row r="49" customFormat="false" ht="15" hidden="false" customHeight="false" outlineLevel="0" collapsed="false">
      <c r="A49" s="5" t="s">
        <v>39</v>
      </c>
      <c r="B49" s="14" t="n">
        <f aca="false">COUNTA(Krediler!$B$5:$B$11)</f>
        <v>7</v>
      </c>
    </row>
    <row r="50" customFormat="false" ht="15" hidden="false" customHeight="false" outlineLevel="0" collapsed="false">
      <c r="A50" s="8" t="s">
        <v>40</v>
      </c>
      <c r="B50" s="9" t="n">
        <f aca="false">Krediler!$N$12</f>
        <v>5653346.57</v>
      </c>
    </row>
    <row r="51" customFormat="false" ht="15" hidden="false" customHeight="false" outlineLevel="0" collapsed="false">
      <c r="A51" s="5" t="s">
        <v>41</v>
      </c>
      <c r="B51" s="6" t="n">
        <f aca="false">Krediler!$O$12</f>
        <v>9680337.74493779</v>
      </c>
    </row>
    <row r="52" customFormat="false" ht="15" hidden="false" customHeight="false" outlineLevel="0" collapsed="false">
      <c r="A52" s="5" t="s">
        <v>42</v>
      </c>
      <c r="B52" s="6" t="n">
        <f aca="false">Krediler!$P$12</f>
        <v>4026991.17493779</v>
      </c>
    </row>
    <row r="53" customFormat="false" ht="15" hidden="false" customHeight="false" outlineLevel="0" collapsed="false">
      <c r="A53" s="5" t="s">
        <v>43</v>
      </c>
      <c r="B53" s="6" t="n">
        <f aca="false">-AVERAGE('Nakit Akışı'!$B$36:$M$36)</f>
        <v>183841.346560361</v>
      </c>
    </row>
    <row r="54" customFormat="false" ht="15" hidden="false" customHeight="false" outlineLevel="0" collapsed="false">
      <c r="A54" s="5" t="s">
        <v>44</v>
      </c>
      <c r="B54" s="6" t="n">
        <f aca="false">-AVERAGE('Nakit Akışı'!$B$41:$M$41)</f>
        <v>134898.28831763</v>
      </c>
    </row>
    <row r="56" customFormat="false" ht="15" hidden="false" customHeight="false" outlineLevel="0" collapsed="false">
      <c r="A56" s="3" t="s">
        <v>45</v>
      </c>
      <c r="B56" s="4"/>
      <c r="C56" s="4"/>
      <c r="D56" s="4"/>
      <c r="E56" s="4"/>
    </row>
    <row r="57" customFormat="false" ht="15" hidden="false" customHeight="false" outlineLevel="0" collapsed="false">
      <c r="A57" s="5" t="s">
        <v>46</v>
      </c>
      <c r="B57" s="6" t="n">
        <f aca="false">INDEX('Kredi Takvimi'!$Y$4:$Y$40,MATCH("Ağu 2026",'Kredi Takvimi'!$A$4:$A$40,0))</f>
        <v>41163.97</v>
      </c>
    </row>
    <row r="58" customFormat="false" ht="15" hidden="false" customHeight="false" outlineLevel="0" collapsed="false">
      <c r="A58" s="8" t="s">
        <v>47</v>
      </c>
      <c r="B58" s="9" t="n">
        <f aca="false">INDEX('Kredi Takvimi'!$Y$4:$Y$40,MATCH("Eyl 2026",'Kredi Takvimi'!$A$4:$A$40,0))</f>
        <v>325778.40737799</v>
      </c>
    </row>
    <row r="59" customFormat="false" ht="15" hidden="false" customHeight="false" outlineLevel="0" collapsed="false">
      <c r="A59" s="5" t="s">
        <v>48</v>
      </c>
      <c r="B59" s="6" t="n">
        <f aca="false">INDEX('Kredi Takvimi'!$Y$4:$Y$40,MATCH("Oca 2027",'Kredi Takvimi'!$A$4:$A$40,0))</f>
        <v>315220.25737799</v>
      </c>
    </row>
    <row r="60" customFormat="false" ht="15" hidden="false" customHeight="false" outlineLevel="0" collapsed="false">
      <c r="A60" s="5" t="s">
        <v>49</v>
      </c>
      <c r="B60" s="6" t="n">
        <f aca="false">INDEX('Kredi Takvimi'!$Y$4:$Y$40,MATCH("Haz 2028",'Kredi Takvimi'!$A$4:$A$40,0))</f>
        <v>239001.16</v>
      </c>
    </row>
    <row r="61" customFormat="false" ht="15" hidden="false" customHeight="false" outlineLevel="0" collapsed="false">
      <c r="A61" s="5" t="s">
        <v>50</v>
      </c>
      <c r="B61" s="6" t="n">
        <f aca="false">INDEX('Kredi Takvimi'!$Y$4:$Y$40,MATCH("Tem 2028",'Kredi Takvimi'!$A$4:$A$40,0))</f>
        <v>213761.38</v>
      </c>
    </row>
    <row r="62" customFormat="false" ht="15" hidden="false" customHeight="false" outlineLevel="0" collapsed="false">
      <c r="A62" s="5" t="s">
        <v>51</v>
      </c>
      <c r="B62" s="6" t="n">
        <f aca="false">INDEX('Kredi Takvimi'!$Y$4:$Y$40,MATCH("Mar 2029",'Kredi Takvimi'!$A$4:$A$40,0))</f>
        <v>191952.72</v>
      </c>
    </row>
    <row r="63" customFormat="false" ht="15" hidden="false" customHeight="false" outlineLevel="0" collapsed="false">
      <c r="A63" s="5" t="s">
        <v>52</v>
      </c>
      <c r="B63" s="6" t="n">
        <f aca="false">INDEX('Kredi Takvimi'!$Y$4:$Y$40,MATCH("Haz 2029",'Kredi Takvimi'!$A$4:$A$40,0))</f>
        <v>150788.75</v>
      </c>
    </row>
    <row r="64" customFormat="false" ht="15" hidden="false" customHeight="false" outlineLevel="0" collapsed="false">
      <c r="A64" s="8" t="s">
        <v>53</v>
      </c>
      <c r="B64" s="6" t="n">
        <f aca="false">SUMIF('Kredi Takvimi'!$B$4:$B$40,2026,'Kredi Takvimi'!$Y$4:$Y$40)</f>
        <v>1344277.52951196</v>
      </c>
      <c r="C64" s="6" t="n">
        <f aca="false">SUMIF('Kredi Takvimi'!$B$4:$B$40,2027,'Kredi Takvimi'!$Y$4:$Y$40)</f>
        <v>3782643.08853588</v>
      </c>
      <c r="D64" s="6" t="n">
        <f aca="false">SUMIF('Kredi Takvimi'!$B$4:$B$40,2028,'Kredi Takvimi'!$Y$4:$Y$40)</f>
        <v>3097670.72688995</v>
      </c>
      <c r="E64" s="6" t="n">
        <f aca="false">SUMIF('Kredi Takvimi'!$B$4:$B$40,2029,'Kredi Takvimi'!$Y$4:$Y$40)</f>
        <v>1455746.4</v>
      </c>
    </row>
    <row r="65" customFormat="false" ht="15" hidden="false" customHeight="false" outlineLevel="0" collapsed="false">
      <c r="A65" s="2" t="s">
        <v>54</v>
      </c>
      <c r="B65" s="15" t="s">
        <v>55</v>
      </c>
      <c r="C65" s="15" t="s">
        <v>56</v>
      </c>
      <c r="D65" s="15" t="s">
        <v>57</v>
      </c>
      <c r="E65" s="15" t="s">
        <v>58</v>
      </c>
    </row>
    <row r="67" customFormat="false" ht="15" hidden="false" customHeight="false" outlineLevel="0" collapsed="false">
      <c r="A67" s="3" t="s">
        <v>59</v>
      </c>
      <c r="B67" s="4"/>
      <c r="C67" s="4"/>
      <c r="D67" s="4"/>
      <c r="E67" s="4"/>
    </row>
    <row r="68" customFormat="false" ht="15" hidden="false" customHeight="false" outlineLevel="0" collapsed="false">
      <c r="A68" s="5" t="s">
        <v>60</v>
      </c>
      <c r="B68" s="6" t="n">
        <f aca="false">Krediler!$J$6+Krediler!$J$9</f>
        <v>95363.39</v>
      </c>
    </row>
    <row r="69" customFormat="false" ht="15" hidden="false" customHeight="false" outlineLevel="0" collapsed="false">
      <c r="A69" s="5" t="s">
        <v>61</v>
      </c>
      <c r="B69" s="6" t="n">
        <f aca="false">Krediler!$J$7</f>
        <v>77234.02</v>
      </c>
    </row>
    <row r="70" customFormat="false" ht="15" hidden="false" customHeight="false" outlineLevel="0" collapsed="false">
      <c r="A70" s="5" t="s">
        <v>62</v>
      </c>
      <c r="B70" s="6" t="n">
        <f aca="false">Krediler!$J$5+Krediler!$J$10+Krediler!$J$11</f>
        <v>112017.02737799</v>
      </c>
    </row>
    <row r="71" customFormat="false" ht="15" hidden="false" customHeight="false" outlineLevel="0" collapsed="false">
      <c r="A71" s="5" t="s">
        <v>63</v>
      </c>
      <c r="B71" s="6" t="n">
        <f aca="false">Krediler!$J$8</f>
        <v>41163.97</v>
      </c>
    </row>
    <row r="73" customFormat="false" ht="15" hidden="false" customHeight="false" outlineLevel="0" collapsed="false">
      <c r="A73" s="3" t="s">
        <v>64</v>
      </c>
      <c r="B73" s="4"/>
      <c r="C73" s="4"/>
      <c r="D73" s="4"/>
      <c r="E73" s="4"/>
    </row>
    <row r="74" customFormat="false" ht="15" hidden="false" customHeight="false" outlineLevel="0" collapsed="false">
      <c r="A74" s="2" t="s">
        <v>65</v>
      </c>
    </row>
    <row r="75" customFormat="false" ht="15" hidden="false" customHeight="false" outlineLevel="0" collapsed="false">
      <c r="A75" s="2" t="s">
        <v>66</v>
      </c>
    </row>
    <row r="76" customFormat="false" ht="15" hidden="false" customHeight="false" outlineLevel="0" collapsed="false">
      <c r="A76" s="2" t="s">
        <v>67</v>
      </c>
    </row>
    <row r="77" customFormat="false" ht="15" hidden="false" customHeight="false" outlineLevel="0" collapsed="false">
      <c r="A77" s="2" t="s">
        <v>68</v>
      </c>
    </row>
    <row r="78" customFormat="false" ht="15" hidden="false" customHeight="false" outlineLevel="0" collapsed="false">
      <c r="A78" s="2" t="s">
        <v>69</v>
      </c>
    </row>
    <row r="79" customFormat="false" ht="15" hidden="false" customHeight="false" outlineLevel="0" collapsed="false">
      <c r="A79" s="2" t="s">
        <v>70</v>
      </c>
    </row>
    <row r="80" customFormat="false" ht="15" hidden="false" customHeight="false" outlineLevel="0" collapsed="false">
      <c r="A80" s="2" t="s">
        <v>71</v>
      </c>
    </row>
    <row r="81" customFormat="false" ht="15" hidden="false" customHeight="false" outlineLevel="0" collapsed="false">
      <c r="A81" s="2" t="s">
        <v>72</v>
      </c>
    </row>
  </sheetData>
  <conditionalFormatting sqref="C32:E3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10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3" customFormat="false" ht="15" hidden="false" customHeight="false" outlineLevel="0" collapsed="false">
      <c r="A3" s="3" t="s">
        <v>75</v>
      </c>
      <c r="B3" s="4"/>
      <c r="C3" s="4"/>
      <c r="D3" s="4"/>
      <c r="E3" s="4"/>
    </row>
    <row r="4" customFormat="false" ht="15" hidden="false" customHeight="false" outlineLevel="0" collapsed="false">
      <c r="A4" s="5" t="s">
        <v>76</v>
      </c>
      <c r="B4" s="16" t="n">
        <v>0</v>
      </c>
      <c r="E4" s="2" t="s">
        <v>77</v>
      </c>
    </row>
    <row r="5" customFormat="false" ht="15" hidden="false" customHeight="false" outlineLevel="0" collapsed="false">
      <c r="A5" s="5" t="s">
        <v>78</v>
      </c>
      <c r="B5" s="17" t="n">
        <f aca="false">C37</f>
        <v>0.496969696969697</v>
      </c>
      <c r="E5" s="2" t="s">
        <v>79</v>
      </c>
    </row>
    <row r="6" customFormat="false" ht="15" hidden="false" customHeight="false" outlineLevel="0" collapsed="false">
      <c r="A6" s="5" t="s">
        <v>80</v>
      </c>
      <c r="B6" s="18" t="n">
        <v>0</v>
      </c>
      <c r="E6" s="2" t="s">
        <v>81</v>
      </c>
    </row>
    <row r="7" customFormat="false" ht="15" hidden="false" customHeight="false" outlineLevel="0" collapsed="false">
      <c r="A7" s="5" t="s">
        <v>82</v>
      </c>
      <c r="B7" s="18" t="n">
        <v>0.25</v>
      </c>
      <c r="E7" s="2" t="s">
        <v>83</v>
      </c>
    </row>
    <row r="8" customFormat="false" ht="15" hidden="false" customHeight="false" outlineLevel="0" collapsed="false">
      <c r="A8" s="5" t="s">
        <v>84</v>
      </c>
      <c r="B8" s="19" t="n">
        <v>0</v>
      </c>
      <c r="E8" s="2" t="s">
        <v>85</v>
      </c>
    </row>
    <row r="9" customFormat="false" ht="15" hidden="false" customHeight="false" outlineLevel="0" collapsed="false">
      <c r="A9" s="5" t="s">
        <v>86</v>
      </c>
      <c r="B9" s="20" t="n">
        <v>1</v>
      </c>
      <c r="E9" s="2" t="s">
        <v>87</v>
      </c>
    </row>
    <row r="10" customFormat="false" ht="15" hidden="false" customHeight="false" outlineLevel="0" collapsed="false">
      <c r="A10" s="5" t="s">
        <v>88</v>
      </c>
      <c r="B10" s="18" t="n">
        <v>0</v>
      </c>
      <c r="E10" s="2" t="s">
        <v>89</v>
      </c>
    </row>
    <row r="11" customFormat="false" ht="15" hidden="false" customHeight="false" outlineLevel="0" collapsed="false">
      <c r="A11" s="5" t="s">
        <v>90</v>
      </c>
      <c r="B11" s="18" t="n">
        <v>0</v>
      </c>
      <c r="E11" s="2" t="s">
        <v>91</v>
      </c>
    </row>
    <row r="13" customFormat="false" ht="15" hidden="false" customHeight="false" outlineLevel="0" collapsed="false">
      <c r="A13" s="3" t="s">
        <v>92</v>
      </c>
      <c r="B13" s="4"/>
      <c r="C13" s="4"/>
      <c r="D13" s="4"/>
      <c r="E13" s="4"/>
    </row>
    <row r="14" customFormat="false" ht="15" hidden="false" customHeight="false" outlineLevel="0" collapsed="false">
      <c r="A14" s="5" t="s">
        <v>93</v>
      </c>
      <c r="B14" s="19" t="n">
        <v>150000</v>
      </c>
      <c r="E14" s="2" t="s">
        <v>94</v>
      </c>
    </row>
    <row r="15" customFormat="false" ht="15" hidden="false" customHeight="false" outlineLevel="0" collapsed="false">
      <c r="A15" s="5" t="s">
        <v>95</v>
      </c>
      <c r="B15" s="19" t="n">
        <v>7000</v>
      </c>
      <c r="E15" s="2" t="s">
        <v>96</v>
      </c>
    </row>
    <row r="16" customFormat="false" ht="15" hidden="false" customHeight="false" outlineLevel="0" collapsed="false">
      <c r="A16" s="5" t="s">
        <v>97</v>
      </c>
      <c r="B16" s="19" t="n">
        <v>110000</v>
      </c>
      <c r="E16" s="2" t="s">
        <v>96</v>
      </c>
    </row>
    <row r="17" customFormat="false" ht="15" hidden="false" customHeight="false" outlineLevel="0" collapsed="false">
      <c r="A17" s="5" t="s">
        <v>98</v>
      </c>
      <c r="B17" s="19" t="n">
        <v>30000</v>
      </c>
      <c r="E17" s="2" t="s">
        <v>96</v>
      </c>
    </row>
    <row r="18" customFormat="false" ht="15" hidden="false" customHeight="false" outlineLevel="0" collapsed="false">
      <c r="A18" s="5" t="s">
        <v>99</v>
      </c>
      <c r="B18" s="19" t="n">
        <v>20000</v>
      </c>
      <c r="E18" s="2" t="s">
        <v>100</v>
      </c>
    </row>
    <row r="19" customFormat="false" ht="15" hidden="false" customHeight="false" outlineLevel="0" collapsed="false">
      <c r="A19" s="5" t="s">
        <v>101</v>
      </c>
      <c r="B19" s="19" t="n">
        <v>15000</v>
      </c>
      <c r="E19" s="2" t="s">
        <v>96</v>
      </c>
    </row>
    <row r="20" customFormat="false" ht="15" hidden="false" customHeight="false" outlineLevel="0" collapsed="false">
      <c r="A20" s="5" t="s">
        <v>102</v>
      </c>
      <c r="B20" s="19" t="n">
        <v>10000</v>
      </c>
      <c r="E20" s="2" t="s">
        <v>96</v>
      </c>
    </row>
    <row r="21" customFormat="false" ht="15" hidden="false" customHeight="false" outlineLevel="0" collapsed="false">
      <c r="A21" s="5" t="s">
        <v>103</v>
      </c>
      <c r="B21" s="19" t="n">
        <v>3000</v>
      </c>
      <c r="E21" s="2" t="s">
        <v>96</v>
      </c>
    </row>
    <row r="22" customFormat="false" ht="15" hidden="false" customHeight="false" outlineLevel="0" collapsed="false">
      <c r="A22" s="5" t="s">
        <v>104</v>
      </c>
      <c r="B22" s="19" t="n">
        <v>3000</v>
      </c>
      <c r="E22" s="2" t="s">
        <v>96</v>
      </c>
    </row>
    <row r="23" customFormat="false" ht="15" hidden="false" customHeight="false" outlineLevel="0" collapsed="false">
      <c r="A23" s="5" t="s">
        <v>105</v>
      </c>
      <c r="B23" s="19" t="n">
        <v>10000</v>
      </c>
      <c r="E23" s="2" t="s">
        <v>96</v>
      </c>
    </row>
    <row r="24" customFormat="false" ht="15" hidden="false" customHeight="false" outlineLevel="0" collapsed="false">
      <c r="A24" s="5" t="s">
        <v>106</v>
      </c>
      <c r="B24" s="19" t="n">
        <v>1000</v>
      </c>
      <c r="E24" s="2" t="s">
        <v>96</v>
      </c>
    </row>
    <row r="25" customFormat="false" ht="15" hidden="false" customHeight="false" outlineLevel="0" collapsed="false">
      <c r="A25" s="5" t="s">
        <v>107</v>
      </c>
      <c r="B25" s="19" t="n">
        <v>5000</v>
      </c>
      <c r="E25" s="2" t="s">
        <v>96</v>
      </c>
    </row>
    <row r="26" customFormat="false" ht="15" hidden="false" customHeight="false" outlineLevel="0" collapsed="false">
      <c r="A26" s="5" t="s">
        <v>108</v>
      </c>
      <c r="B26" s="19" t="n">
        <v>15000</v>
      </c>
      <c r="E26" s="2" t="s">
        <v>96</v>
      </c>
    </row>
    <row r="27" customFormat="false" ht="15" hidden="false" customHeight="false" outlineLevel="0" collapsed="false">
      <c r="A27" s="5" t="s">
        <v>109</v>
      </c>
      <c r="B27" s="19" t="n">
        <v>30000</v>
      </c>
      <c r="E27" s="2" t="s">
        <v>96</v>
      </c>
    </row>
    <row r="28" customFormat="false" ht="15" hidden="false" customHeight="false" outlineLevel="0" collapsed="false">
      <c r="A28" s="5" t="s">
        <v>110</v>
      </c>
      <c r="B28" s="19" t="n">
        <v>2000</v>
      </c>
      <c r="E28" s="2" t="s">
        <v>96</v>
      </c>
    </row>
    <row r="29" customFormat="false" ht="15" hidden="false" customHeight="false" outlineLevel="0" collapsed="false">
      <c r="A29" s="8" t="s">
        <v>111</v>
      </c>
      <c r="B29" s="21" t="n">
        <f aca="false">SUM(B14:B28)</f>
        <v>411000</v>
      </c>
    </row>
    <row r="31" customFormat="false" ht="15" hidden="false" customHeight="false" outlineLevel="0" collapsed="false">
      <c r="A31" s="3" t="s">
        <v>112</v>
      </c>
      <c r="B31" s="4"/>
      <c r="C31" s="4"/>
      <c r="D31" s="4"/>
      <c r="E31" s="4"/>
    </row>
    <row r="32" customFormat="false" ht="23.85" hidden="false" customHeight="false" outlineLevel="0" collapsed="false">
      <c r="A32" s="10" t="s">
        <v>113</v>
      </c>
      <c r="B32" s="10" t="s">
        <v>114</v>
      </c>
      <c r="C32" s="10" t="s">
        <v>115</v>
      </c>
      <c r="D32" s="10" t="s">
        <v>116</v>
      </c>
      <c r="E32" s="10" t="s">
        <v>117</v>
      </c>
    </row>
    <row r="33" customFormat="false" ht="15" hidden="false" customHeight="false" outlineLevel="0" collapsed="false">
      <c r="A33" s="5" t="s">
        <v>118</v>
      </c>
      <c r="B33" s="19" t="n">
        <v>775000</v>
      </c>
      <c r="C33" s="22" t="n">
        <v>0.4</v>
      </c>
      <c r="D33" s="23" t="n">
        <v>0</v>
      </c>
      <c r="E33" s="2" t="s">
        <v>119</v>
      </c>
    </row>
    <row r="34" customFormat="false" ht="15" hidden="false" customHeight="false" outlineLevel="0" collapsed="false">
      <c r="A34" s="5" t="s">
        <v>120</v>
      </c>
      <c r="B34" s="19" t="n">
        <v>750000</v>
      </c>
      <c r="C34" s="22" t="n">
        <v>0.62</v>
      </c>
      <c r="D34" s="23" t="n">
        <v>0</v>
      </c>
      <c r="E34" s="2" t="s">
        <v>121</v>
      </c>
    </row>
    <row r="35" customFormat="false" ht="15" hidden="false" customHeight="false" outlineLevel="0" collapsed="false">
      <c r="A35" s="5" t="s">
        <v>122</v>
      </c>
      <c r="B35" s="19" t="n">
        <v>75000</v>
      </c>
      <c r="C35" s="22" t="n">
        <v>0.3</v>
      </c>
      <c r="D35" s="23" t="n">
        <v>0</v>
      </c>
      <c r="E35" s="2" t="s">
        <v>123</v>
      </c>
    </row>
    <row r="36" customFormat="false" ht="15" hidden="false" customHeight="false" outlineLevel="0" collapsed="false">
      <c r="A36" s="5" t="s">
        <v>124</v>
      </c>
      <c r="B36" s="16" t="n">
        <v>50000</v>
      </c>
      <c r="C36" s="22" t="n">
        <v>0.45</v>
      </c>
      <c r="D36" s="23" t="n">
        <v>2</v>
      </c>
      <c r="E36" s="2" t="s">
        <v>125</v>
      </c>
    </row>
    <row r="37" customFormat="false" ht="15" hidden="false" customHeight="false" outlineLevel="0" collapsed="false">
      <c r="A37" s="8" t="s">
        <v>126</v>
      </c>
      <c r="B37" s="21" t="n">
        <f aca="false">SUM(B33:B36)</f>
        <v>1650000</v>
      </c>
      <c r="C37" s="24" t="n">
        <f aca="false">IF(B37&gt;0,SUMPRODUCT(B33:B36,C33:C36)/B37,0)</f>
        <v>0.496969696969697</v>
      </c>
      <c r="D37" s="25" t="n">
        <f aca="false">IF(B37&gt;0,SUMPRODUCT(B33:B36,D33:D36)/B37,0)</f>
        <v>0.0606060606060606</v>
      </c>
      <c r="E37" s="2" t="s">
        <v>127</v>
      </c>
    </row>
    <row r="39" customFormat="false" ht="15" hidden="false" customHeight="false" outlineLevel="0" collapsed="false">
      <c r="A39" s="3" t="s">
        <v>128</v>
      </c>
      <c r="B39" s="4"/>
      <c r="C39" s="4"/>
      <c r="D39" s="4"/>
      <c r="E39" s="4"/>
    </row>
    <row r="40" customFormat="false" ht="15" hidden="false" customHeight="false" outlineLevel="0" collapsed="false">
      <c r="A40" s="5" t="s">
        <v>129</v>
      </c>
      <c r="B40" s="26" t="n">
        <v>0.0345833</v>
      </c>
      <c r="E40" s="2" t="s">
        <v>130</v>
      </c>
    </row>
    <row r="41" customFormat="false" ht="15" hidden="false" customHeight="false" outlineLevel="0" collapsed="false">
      <c r="A41" s="5" t="s">
        <v>131</v>
      </c>
      <c r="B41" s="18" t="n">
        <v>0.05</v>
      </c>
      <c r="E41" s="2" t="s">
        <v>132</v>
      </c>
    </row>
    <row r="42" customFormat="false" ht="15" hidden="false" customHeight="false" outlineLevel="0" collapsed="false">
      <c r="A42" s="5" t="s">
        <v>133</v>
      </c>
      <c r="B42" s="27" t="n">
        <v>1106537.62</v>
      </c>
      <c r="E42" s="2" t="s">
        <v>134</v>
      </c>
    </row>
    <row r="43" customFormat="false" ht="15" hidden="false" customHeight="false" outlineLevel="0" collapsed="false">
      <c r="A43" s="5" t="s">
        <v>135</v>
      </c>
      <c r="B43" s="28" t="n">
        <v>21</v>
      </c>
      <c r="E43" s="2" t="s">
        <v>136</v>
      </c>
    </row>
    <row r="44" customFormat="false" ht="15" hidden="false" customHeight="false" outlineLevel="0" collapsed="false">
      <c r="A44" s="8" t="s">
        <v>137</v>
      </c>
      <c r="B44" s="29" t="n">
        <f aca="false">PMT(B40*(1+B41),B43,-B42)</f>
        <v>76218.7973779901</v>
      </c>
      <c r="E44" s="2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28" min="3" style="0" width="14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C2" s="30" t="s">
        <v>140</v>
      </c>
      <c r="D2" s="30"/>
      <c r="E2" s="30"/>
      <c r="F2" s="30"/>
      <c r="G2" s="30" t="s">
        <v>141</v>
      </c>
      <c r="H2" s="30"/>
      <c r="I2" s="30"/>
      <c r="J2" s="30" t="s">
        <v>142</v>
      </c>
      <c r="K2" s="30"/>
      <c r="L2" s="30"/>
      <c r="M2" s="30" t="s">
        <v>143</v>
      </c>
      <c r="N2" s="30"/>
      <c r="O2" s="30"/>
      <c r="P2" s="30" t="s">
        <v>144</v>
      </c>
      <c r="Q2" s="30"/>
      <c r="R2" s="30"/>
      <c r="S2" s="30" t="s">
        <v>145</v>
      </c>
      <c r="T2" s="30"/>
      <c r="U2" s="30"/>
      <c r="V2" s="30" t="s">
        <v>146</v>
      </c>
      <c r="W2" s="30"/>
      <c r="X2" s="30"/>
      <c r="Y2" s="4"/>
      <c r="Z2" s="4"/>
      <c r="AA2" s="4"/>
      <c r="AB2" s="4"/>
    </row>
    <row r="3" customFormat="false" ht="30" hidden="false" customHeight="true" outlineLevel="0" collapsed="false">
      <c r="A3" s="8" t="s">
        <v>147</v>
      </c>
      <c r="B3" s="8" t="s">
        <v>148</v>
      </c>
      <c r="C3" s="31" t="s">
        <v>149</v>
      </c>
      <c r="D3" s="31" t="s">
        <v>150</v>
      </c>
      <c r="E3" s="31" t="s">
        <v>151</v>
      </c>
      <c r="F3" s="31" t="s">
        <v>152</v>
      </c>
      <c r="G3" s="31" t="s">
        <v>149</v>
      </c>
      <c r="H3" s="31" t="s">
        <v>150</v>
      </c>
      <c r="I3" s="31" t="s">
        <v>151</v>
      </c>
      <c r="J3" s="31" t="s">
        <v>149</v>
      </c>
      <c r="K3" s="31" t="s">
        <v>150</v>
      </c>
      <c r="L3" s="31" t="s">
        <v>151</v>
      </c>
      <c r="M3" s="31" t="s">
        <v>149</v>
      </c>
      <c r="N3" s="31" t="s">
        <v>150</v>
      </c>
      <c r="O3" s="31" t="s">
        <v>151</v>
      </c>
      <c r="P3" s="31" t="s">
        <v>149</v>
      </c>
      <c r="Q3" s="31" t="s">
        <v>150</v>
      </c>
      <c r="R3" s="31" t="s">
        <v>151</v>
      </c>
      <c r="S3" s="31" t="s">
        <v>149</v>
      </c>
      <c r="T3" s="31" t="s">
        <v>150</v>
      </c>
      <c r="U3" s="31" t="s">
        <v>151</v>
      </c>
      <c r="V3" s="31" t="s">
        <v>149</v>
      </c>
      <c r="W3" s="31" t="s">
        <v>150</v>
      </c>
      <c r="X3" s="31" t="s">
        <v>151</v>
      </c>
      <c r="Y3" s="31" t="s">
        <v>153</v>
      </c>
      <c r="Z3" s="31" t="s">
        <v>154</v>
      </c>
      <c r="AA3" s="31" t="s">
        <v>155</v>
      </c>
      <c r="AB3" s="31" t="s">
        <v>156</v>
      </c>
    </row>
    <row r="4" customFormat="false" ht="15" hidden="false" customHeight="false" outlineLevel="0" collapsed="false">
      <c r="A4" s="8" t="s">
        <v>157</v>
      </c>
      <c r="B4" s="32" t="n">
        <v>2026</v>
      </c>
      <c r="C4" s="33" t="n">
        <v>0</v>
      </c>
      <c r="D4" s="33" t="n">
        <v>0</v>
      </c>
      <c r="E4" s="33" t="n">
        <v>0</v>
      </c>
      <c r="F4" s="34" t="n">
        <f aca="false">Varsayımlar!$B$42</f>
        <v>1106537.62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0</v>
      </c>
      <c r="L4" s="27" t="n">
        <v>0</v>
      </c>
      <c r="M4" s="27" t="n">
        <v>41163.97</v>
      </c>
      <c r="N4" s="27" t="n">
        <v>30854.98</v>
      </c>
      <c r="O4" s="27" t="n">
        <v>10308.99</v>
      </c>
      <c r="P4" s="27" t="n">
        <v>0</v>
      </c>
      <c r="Q4" s="27" t="n">
        <v>0</v>
      </c>
      <c r="R4" s="27" t="n">
        <v>0</v>
      </c>
      <c r="S4" s="27" t="n">
        <v>0</v>
      </c>
      <c r="T4" s="27" t="n">
        <v>0</v>
      </c>
      <c r="U4" s="27" t="n">
        <v>0</v>
      </c>
      <c r="V4" s="27" t="n">
        <v>0</v>
      </c>
      <c r="W4" s="27" t="n">
        <v>0</v>
      </c>
      <c r="X4" s="27" t="n">
        <v>0</v>
      </c>
      <c r="Y4" s="29" t="n">
        <f aca="false">C4+G4+J4+M4+P4+S4+V4</f>
        <v>41163.97</v>
      </c>
      <c r="Z4" s="29" t="n">
        <f aca="false">D4+H4+K4+N4+Q4+T4+W4</f>
        <v>30854.98</v>
      </c>
      <c r="AA4" s="29" t="n">
        <f aca="false">E4+I4+L4+O4+R4+U4+X4</f>
        <v>10308.99</v>
      </c>
      <c r="AB4" s="29" t="n">
        <f aca="false">AA41-AA4</f>
        <v>5643037.58</v>
      </c>
    </row>
    <row r="5" customFormat="false" ht="15" hidden="false" customHeight="false" outlineLevel="0" collapsed="false">
      <c r="A5" s="8" t="s">
        <v>158</v>
      </c>
      <c r="B5" s="32" t="n">
        <v>2026</v>
      </c>
      <c r="C5" s="33" t="n">
        <f aca="false">D5+E5</f>
        <v>76218.7973779901</v>
      </c>
      <c r="D5" s="33" t="n">
        <f aca="false">Varsayımlar!$B$42*Varsayımlar!$B$40*(1+Varsayımlar!$B$41)</f>
        <v>40181.1085974333</v>
      </c>
      <c r="E5" s="33" t="n">
        <f aca="false">MIN(Varsayımlar!$B$42,Varsayımlar!$B$44-D5)</f>
        <v>36037.6887805568</v>
      </c>
      <c r="F5" s="33" t="n">
        <f aca="false">Varsayımlar!$B$42-E5</f>
        <v>1070499.93121944</v>
      </c>
      <c r="G5" s="27" t="n">
        <v>73554.73</v>
      </c>
      <c r="H5" s="27" t="n">
        <v>51975</v>
      </c>
      <c r="I5" s="27" t="n">
        <v>21579.73</v>
      </c>
      <c r="J5" s="27" t="n">
        <v>77234.02</v>
      </c>
      <c r="K5" s="27" t="n">
        <v>57119.99</v>
      </c>
      <c r="L5" s="27" t="n">
        <v>20114.03</v>
      </c>
      <c r="M5" s="27" t="n">
        <v>41163.97</v>
      </c>
      <c r="N5" s="27" t="n">
        <v>30426.51</v>
      </c>
      <c r="O5" s="27" t="n">
        <v>10737.46</v>
      </c>
      <c r="P5" s="27" t="n">
        <v>21808.66</v>
      </c>
      <c r="Q5" s="27" t="n">
        <v>14078.01</v>
      </c>
      <c r="R5" s="27" t="n">
        <v>7730.65</v>
      </c>
      <c r="S5" s="27" t="n">
        <v>25240.08</v>
      </c>
      <c r="T5" s="27" t="n">
        <v>14065.87</v>
      </c>
      <c r="U5" s="27" t="n">
        <v>11174.21</v>
      </c>
      <c r="V5" s="27" t="n">
        <v>10558.15</v>
      </c>
      <c r="W5" s="27" t="n">
        <v>1379.26</v>
      </c>
      <c r="X5" s="27" t="n">
        <v>9178.89</v>
      </c>
      <c r="Y5" s="29" t="n">
        <f aca="false">C5+G5+J5+M5+P5+S5+V5</f>
        <v>325778.40737799</v>
      </c>
      <c r="Z5" s="29" t="n">
        <f aca="false">D5+H5+K5+N5+Q5+T5+W5</f>
        <v>209225.748597433</v>
      </c>
      <c r="AA5" s="29" t="n">
        <f aca="false">E5+I5+L5+O5+R5+U5+X5</f>
        <v>116552.658780557</v>
      </c>
      <c r="AB5" s="29" t="n">
        <f aca="false">AB4-AA5</f>
        <v>5526484.92121944</v>
      </c>
    </row>
    <row r="6" customFormat="false" ht="15" hidden="false" customHeight="false" outlineLevel="0" collapsed="false">
      <c r="A6" s="8" t="s">
        <v>159</v>
      </c>
      <c r="B6" s="32" t="n">
        <v>2026</v>
      </c>
      <c r="C6" s="33" t="n">
        <f aca="false">D6+E6</f>
        <v>76218.7973779901</v>
      </c>
      <c r="D6" s="33" t="n">
        <f aca="false">F5*Varsayımlar!$B$40*(1+Varsayımlar!$B$41)</f>
        <v>38872.4912849084</v>
      </c>
      <c r="E6" s="33" t="n">
        <f aca="false">MIN(F5,Varsayımlar!$B$44-D6)</f>
        <v>37346.3060930817</v>
      </c>
      <c r="F6" s="33" t="n">
        <f aca="false">F5-E6</f>
        <v>1033153.62512636</v>
      </c>
      <c r="G6" s="27" t="n">
        <v>73554.73</v>
      </c>
      <c r="H6" s="27" t="n">
        <v>51227.26</v>
      </c>
      <c r="I6" s="27" t="n">
        <v>22327.47</v>
      </c>
      <c r="J6" s="27" t="n">
        <v>77234.02</v>
      </c>
      <c r="K6" s="27" t="n">
        <v>56354.05</v>
      </c>
      <c r="L6" s="27" t="n">
        <v>20879.97</v>
      </c>
      <c r="M6" s="27" t="n">
        <v>41163.97</v>
      </c>
      <c r="N6" s="27" t="n">
        <v>29980.24</v>
      </c>
      <c r="O6" s="27" t="n">
        <v>11183.73</v>
      </c>
      <c r="P6" s="27" t="n">
        <v>21808.66</v>
      </c>
      <c r="Q6" s="27" t="n">
        <v>13806.09</v>
      </c>
      <c r="R6" s="27" t="n">
        <v>8002.57</v>
      </c>
      <c r="S6" s="27" t="n">
        <v>25240.08</v>
      </c>
      <c r="T6" s="27" t="n">
        <v>14106.22</v>
      </c>
      <c r="U6" s="27" t="n">
        <v>11133.86</v>
      </c>
      <c r="V6" s="27" t="n">
        <v>10558.15</v>
      </c>
      <c r="W6" s="27" t="n">
        <v>1126</v>
      </c>
      <c r="X6" s="27" t="n">
        <v>9432.15</v>
      </c>
      <c r="Y6" s="29" t="n">
        <f aca="false">C6+G6+J6+M6+P6+S6+V6</f>
        <v>325778.40737799</v>
      </c>
      <c r="Z6" s="29" t="n">
        <f aca="false">D6+H6+K6+N6+Q6+T6+W6</f>
        <v>205472.351284908</v>
      </c>
      <c r="AA6" s="29" t="n">
        <f aca="false">E6+I6+L6+O6+R6+U6+X6</f>
        <v>120306.056093082</v>
      </c>
      <c r="AB6" s="29" t="n">
        <f aca="false">AB5-AA6</f>
        <v>5406178.86512636</v>
      </c>
    </row>
    <row r="7" customFormat="false" ht="15" hidden="false" customHeight="false" outlineLevel="0" collapsed="false">
      <c r="A7" s="8" t="s">
        <v>160</v>
      </c>
      <c r="B7" s="32" t="n">
        <v>2026</v>
      </c>
      <c r="C7" s="33" t="n">
        <f aca="false">D7+E7</f>
        <v>76218.7973779901</v>
      </c>
      <c r="D7" s="33" t="n">
        <f aca="false">F6*Varsayımlar!$B$40*(1+Varsayımlar!$B$41)</f>
        <v>37516.3548520241</v>
      </c>
      <c r="E7" s="33" t="n">
        <f aca="false">MIN(F6,Varsayımlar!$B$44-D7)</f>
        <v>38702.442525966</v>
      </c>
      <c r="F7" s="33" t="n">
        <f aca="false">F6-E7</f>
        <v>994451.182600396</v>
      </c>
      <c r="G7" s="27" t="n">
        <v>73554.73</v>
      </c>
      <c r="H7" s="27" t="n">
        <v>50453.61</v>
      </c>
      <c r="I7" s="27" t="n">
        <v>23101.12</v>
      </c>
      <c r="J7" s="27" t="n">
        <v>77234.02</v>
      </c>
      <c r="K7" s="27" t="n">
        <v>55558.93</v>
      </c>
      <c r="L7" s="27" t="n">
        <v>21675.09</v>
      </c>
      <c r="M7" s="27" t="n">
        <v>41163.97</v>
      </c>
      <c r="N7" s="27" t="n">
        <v>29515.42</v>
      </c>
      <c r="O7" s="27" t="n">
        <v>11648.55</v>
      </c>
      <c r="P7" s="27" t="n">
        <v>21808.66</v>
      </c>
      <c r="Q7" s="27" t="n">
        <v>13524.6</v>
      </c>
      <c r="R7" s="27" t="n">
        <v>8284.06</v>
      </c>
      <c r="S7" s="27" t="n">
        <v>25240.08</v>
      </c>
      <c r="T7" s="27" t="n">
        <v>13663.15</v>
      </c>
      <c r="U7" s="27" t="n">
        <v>11576.93</v>
      </c>
      <c r="V7" s="27" t="n">
        <v>10558.15</v>
      </c>
      <c r="W7" s="27" t="n">
        <v>790.92</v>
      </c>
      <c r="X7" s="27" t="n">
        <v>9767.23</v>
      </c>
      <c r="Y7" s="29" t="n">
        <f aca="false">C7+G7+J7+M7+P7+S7+V7</f>
        <v>325778.40737799</v>
      </c>
      <c r="Z7" s="29" t="n">
        <f aca="false">D7+H7+K7+N7+Q7+T7+W7</f>
        <v>201022.984852024</v>
      </c>
      <c r="AA7" s="29" t="n">
        <f aca="false">E7+I7+L7+O7+R7+U7+X7</f>
        <v>124755.422525966</v>
      </c>
      <c r="AB7" s="29" t="n">
        <f aca="false">AB6-AA7</f>
        <v>5281423.4426004</v>
      </c>
    </row>
    <row r="8" customFormat="false" ht="15" hidden="false" customHeight="false" outlineLevel="0" collapsed="false">
      <c r="A8" s="8" t="s">
        <v>161</v>
      </c>
      <c r="B8" s="32" t="n">
        <v>2026</v>
      </c>
      <c r="C8" s="33" t="n">
        <f aca="false">D8+E8</f>
        <v>76218.7973779901</v>
      </c>
      <c r="D8" s="33" t="n">
        <f aca="false">F7*Varsayımlar!$B$40*(1+Varsayımlar!$B$41)</f>
        <v>36110.9737623855</v>
      </c>
      <c r="E8" s="33" t="n">
        <f aca="false">MIN(F7,Varsayımlar!$B$44-D8)</f>
        <v>40107.8236156047</v>
      </c>
      <c r="F8" s="33" t="n">
        <f aca="false">F7-E8</f>
        <v>954343.358984791</v>
      </c>
      <c r="G8" s="27" t="n">
        <v>73554.73</v>
      </c>
      <c r="H8" s="27" t="n">
        <v>49653.17</v>
      </c>
      <c r="I8" s="27" t="n">
        <v>23901.56</v>
      </c>
      <c r="J8" s="27" t="n">
        <v>77234.02</v>
      </c>
      <c r="K8" s="27" t="n">
        <v>54733.55</v>
      </c>
      <c r="L8" s="27" t="n">
        <v>22500.47</v>
      </c>
      <c r="M8" s="27" t="n">
        <v>41163.97</v>
      </c>
      <c r="N8" s="27" t="n">
        <v>29031.27</v>
      </c>
      <c r="O8" s="27" t="n">
        <v>12132.7</v>
      </c>
      <c r="P8" s="27" t="n">
        <v>21808.66</v>
      </c>
      <c r="Q8" s="27" t="n">
        <v>13233.2</v>
      </c>
      <c r="R8" s="27" t="n">
        <v>8575.46</v>
      </c>
      <c r="S8" s="27" t="n">
        <v>25240.08</v>
      </c>
      <c r="T8" s="27" t="n">
        <v>13202.45</v>
      </c>
      <c r="U8" s="27" t="n">
        <v>12037.63</v>
      </c>
      <c r="V8" s="27" t="n">
        <v>10558.08</v>
      </c>
      <c r="W8" s="27" t="n">
        <v>377.18</v>
      </c>
      <c r="X8" s="27" t="n">
        <v>10180.9</v>
      </c>
      <c r="Y8" s="29" t="n">
        <f aca="false">C8+G8+J8+M8+P8+S8+V8</f>
        <v>325778.33737799</v>
      </c>
      <c r="Z8" s="29" t="n">
        <f aca="false">D8+H8+K8+N8+Q8+T8+W8</f>
        <v>196341.793762385</v>
      </c>
      <c r="AA8" s="29" t="n">
        <f aca="false">E8+I8+L8+O8+R8+U8+X8</f>
        <v>129436.543615605</v>
      </c>
      <c r="AB8" s="29" t="n">
        <f aca="false">AB7-AA8</f>
        <v>5151986.89898479</v>
      </c>
    </row>
    <row r="9" customFormat="false" ht="15" hidden="false" customHeight="false" outlineLevel="0" collapsed="false">
      <c r="A9" s="8" t="s">
        <v>162</v>
      </c>
      <c r="B9" s="32" t="n">
        <v>2027</v>
      </c>
      <c r="C9" s="33" t="n">
        <f aca="false">D9+E9</f>
        <v>76218.7973779901</v>
      </c>
      <c r="D9" s="33" t="n">
        <f aca="false">F8*Varsayımlar!$B$40*(1+Varsayımlar!$B$41)</f>
        <v>34654.5598211177</v>
      </c>
      <c r="E9" s="33" t="n">
        <f aca="false">MIN(F8,Varsayımlar!$B$44-D9)</f>
        <v>41564.2375568725</v>
      </c>
      <c r="F9" s="33" t="n">
        <f aca="false">F8-E9</f>
        <v>912779.121427918</v>
      </c>
      <c r="G9" s="27" t="n">
        <v>73554.73</v>
      </c>
      <c r="H9" s="27" t="n">
        <v>48824.97</v>
      </c>
      <c r="I9" s="27" t="n">
        <v>24729.76</v>
      </c>
      <c r="J9" s="27" t="n">
        <v>77234.02</v>
      </c>
      <c r="K9" s="27" t="n">
        <v>53876.73</v>
      </c>
      <c r="L9" s="27" t="n">
        <v>23357.29</v>
      </c>
      <c r="M9" s="27" t="n">
        <v>41163.97</v>
      </c>
      <c r="N9" s="27" t="n">
        <v>28527.01</v>
      </c>
      <c r="O9" s="27" t="n">
        <v>12636.96</v>
      </c>
      <c r="P9" s="27" t="n">
        <v>21808.66</v>
      </c>
      <c r="Q9" s="27" t="n">
        <v>12931.57</v>
      </c>
      <c r="R9" s="27" t="n">
        <v>8877.09</v>
      </c>
      <c r="S9" s="27" t="n">
        <v>25240.08</v>
      </c>
      <c r="T9" s="27" t="n">
        <v>13603.78</v>
      </c>
      <c r="U9" s="27" t="n">
        <v>11636.3</v>
      </c>
      <c r="V9" s="27" t="n">
        <v>0</v>
      </c>
      <c r="W9" s="27" t="n">
        <v>0</v>
      </c>
      <c r="X9" s="27" t="n">
        <v>0</v>
      </c>
      <c r="Y9" s="29" t="n">
        <f aca="false">C9+G9+J9+M9+P9+S9+V9</f>
        <v>315220.25737799</v>
      </c>
      <c r="Z9" s="29" t="n">
        <f aca="false">D9+H9+K9+N9+Q9+T9+W9</f>
        <v>192418.619821118</v>
      </c>
      <c r="AA9" s="29" t="n">
        <f aca="false">E9+I9+L9+O9+R9+U9+X9</f>
        <v>122801.637556872</v>
      </c>
      <c r="AB9" s="29" t="n">
        <f aca="false">AB8-AA9</f>
        <v>5029185.26142792</v>
      </c>
    </row>
    <row r="10" customFormat="false" ht="15" hidden="false" customHeight="false" outlineLevel="0" collapsed="false">
      <c r="A10" s="8" t="s">
        <v>163</v>
      </c>
      <c r="B10" s="32" t="n">
        <v>2027</v>
      </c>
      <c r="C10" s="33" t="n">
        <f aca="false">D10+E10</f>
        <v>76218.7973779901</v>
      </c>
      <c r="D10" s="33" t="n">
        <f aca="false">F9*Varsayımlar!$B$40*(1+Varsayımlar!$B$41)</f>
        <v>33145.259899582</v>
      </c>
      <c r="E10" s="33" t="n">
        <f aca="false">MIN(F9,Varsayımlar!$B$44-D10)</f>
        <v>43073.5374784081</v>
      </c>
      <c r="F10" s="33" t="n">
        <f aca="false">F9-E10</f>
        <v>869705.58394951</v>
      </c>
      <c r="G10" s="27" t="n">
        <v>73554.73</v>
      </c>
      <c r="H10" s="27" t="n">
        <v>47968.08</v>
      </c>
      <c r="I10" s="27" t="n">
        <v>25586.65</v>
      </c>
      <c r="J10" s="27" t="n">
        <v>77234.02</v>
      </c>
      <c r="K10" s="27" t="n">
        <v>52987.28</v>
      </c>
      <c r="L10" s="27" t="n">
        <v>24246.74</v>
      </c>
      <c r="M10" s="27" t="n">
        <v>41163.97</v>
      </c>
      <c r="N10" s="27" t="n">
        <v>28001.79</v>
      </c>
      <c r="O10" s="27" t="n">
        <v>13162.18</v>
      </c>
      <c r="P10" s="27" t="n">
        <v>21808.66</v>
      </c>
      <c r="Q10" s="27" t="n">
        <v>12619.31</v>
      </c>
      <c r="R10" s="27" t="n">
        <v>9189.35</v>
      </c>
      <c r="S10" s="27" t="n">
        <v>25240.08</v>
      </c>
      <c r="T10" s="27" t="n">
        <v>11442.98</v>
      </c>
      <c r="U10" s="27" t="n">
        <v>13797.1</v>
      </c>
      <c r="V10" s="27" t="n">
        <v>0</v>
      </c>
      <c r="W10" s="27" t="n">
        <v>0</v>
      </c>
      <c r="X10" s="27" t="n">
        <v>0</v>
      </c>
      <c r="Y10" s="29" t="n">
        <f aca="false">C10+G10+J10+M10+P10+S10+V10</f>
        <v>315220.25737799</v>
      </c>
      <c r="Z10" s="29" t="n">
        <f aca="false">D10+H10+K10+N10+Q10+T10+W10</f>
        <v>186164.699899582</v>
      </c>
      <c r="AA10" s="29" t="n">
        <f aca="false">E10+I10+L10+O10+R10+U10+X10</f>
        <v>129055.557478408</v>
      </c>
      <c r="AB10" s="29" t="n">
        <f aca="false">AB9-AA10</f>
        <v>4900129.70394951</v>
      </c>
    </row>
    <row r="11" customFormat="false" ht="15" hidden="false" customHeight="false" outlineLevel="0" collapsed="false">
      <c r="A11" s="8" t="s">
        <v>164</v>
      </c>
      <c r="B11" s="32" t="n">
        <v>2027</v>
      </c>
      <c r="C11" s="33" t="n">
        <f aca="false">D11+E11</f>
        <v>76218.7973779901</v>
      </c>
      <c r="D11" s="33" t="n">
        <f aca="false">F10*Varsayımlar!$B$40*(1+Varsayımlar!$B$41)</f>
        <v>31581.1535774712</v>
      </c>
      <c r="E11" s="33" t="n">
        <f aca="false">MIN(F10,Varsayımlar!$B$44-D11)</f>
        <v>44637.643800519</v>
      </c>
      <c r="F11" s="33" t="n">
        <f aca="false">F10-E11</f>
        <v>825067.940148991</v>
      </c>
      <c r="G11" s="27" t="n">
        <v>73554.73</v>
      </c>
      <c r="H11" s="27" t="n">
        <v>47081.51</v>
      </c>
      <c r="I11" s="27" t="n">
        <v>26473.22</v>
      </c>
      <c r="J11" s="27" t="n">
        <v>77234.02</v>
      </c>
      <c r="K11" s="27" t="n">
        <v>52063.98</v>
      </c>
      <c r="L11" s="27" t="n">
        <v>25170.04</v>
      </c>
      <c r="M11" s="27" t="n">
        <v>41163.97</v>
      </c>
      <c r="N11" s="27" t="n">
        <v>27454.73</v>
      </c>
      <c r="O11" s="27" t="n">
        <v>13709.24</v>
      </c>
      <c r="P11" s="27" t="n">
        <v>21808.66</v>
      </c>
      <c r="Q11" s="27" t="n">
        <v>12296.08</v>
      </c>
      <c r="R11" s="27" t="n">
        <v>9512.58</v>
      </c>
      <c r="S11" s="27" t="n">
        <v>25240.08</v>
      </c>
      <c r="T11" s="27" t="n">
        <v>11711.29</v>
      </c>
      <c r="U11" s="27" t="n">
        <v>13528.79</v>
      </c>
      <c r="V11" s="27" t="n">
        <v>0</v>
      </c>
      <c r="W11" s="27" t="n">
        <v>0</v>
      </c>
      <c r="X11" s="27" t="n">
        <v>0</v>
      </c>
      <c r="Y11" s="29" t="n">
        <f aca="false">C11+G11+J11+M11+P11+S11+V11</f>
        <v>315220.25737799</v>
      </c>
      <c r="Z11" s="29" t="n">
        <f aca="false">D11+H11+K11+N11+Q11+T11+W11</f>
        <v>182188.743577471</v>
      </c>
      <c r="AA11" s="29" t="n">
        <f aca="false">E11+I11+L11+O11+R11+U11+X11</f>
        <v>133031.513800519</v>
      </c>
      <c r="AB11" s="29" t="n">
        <f aca="false">AB10-AA11</f>
        <v>4767098.19014899</v>
      </c>
    </row>
    <row r="12" customFormat="false" ht="15" hidden="false" customHeight="false" outlineLevel="0" collapsed="false">
      <c r="A12" s="8" t="s">
        <v>165</v>
      </c>
      <c r="B12" s="32" t="n">
        <v>2027</v>
      </c>
      <c r="C12" s="33" t="n">
        <f aca="false">D12+E12</f>
        <v>76218.7973779901</v>
      </c>
      <c r="D12" s="33" t="n">
        <f aca="false">F11*Varsayımlar!$B$40*(1+Varsayımlar!$B$41)</f>
        <v>29960.2506992823</v>
      </c>
      <c r="E12" s="33" t="n">
        <f aca="false">MIN(F11,Varsayımlar!$B$44-D12)</f>
        <v>46258.5466787078</v>
      </c>
      <c r="F12" s="33" t="n">
        <f aca="false">F11-E12</f>
        <v>778809.393470284</v>
      </c>
      <c r="G12" s="27" t="n">
        <v>73554.73</v>
      </c>
      <c r="H12" s="27" t="n">
        <v>46164.22</v>
      </c>
      <c r="I12" s="27" t="n">
        <v>27390.51</v>
      </c>
      <c r="J12" s="27" t="n">
        <v>77234.02</v>
      </c>
      <c r="K12" s="27" t="n">
        <v>51105.5</v>
      </c>
      <c r="L12" s="27" t="n">
        <v>26128.52</v>
      </c>
      <c r="M12" s="27" t="n">
        <v>41163.97</v>
      </c>
      <c r="N12" s="27" t="n">
        <v>26884.94</v>
      </c>
      <c r="O12" s="27" t="n">
        <v>14279.03</v>
      </c>
      <c r="P12" s="27" t="n">
        <v>21808.66</v>
      </c>
      <c r="Q12" s="27" t="n">
        <v>11961.47</v>
      </c>
      <c r="R12" s="27" t="n">
        <v>9847.19</v>
      </c>
      <c r="S12" s="27" t="n">
        <v>25240.08</v>
      </c>
      <c r="T12" s="27" t="n">
        <v>12332.54</v>
      </c>
      <c r="U12" s="27" t="n">
        <v>12907.54</v>
      </c>
      <c r="V12" s="27" t="n">
        <v>0</v>
      </c>
      <c r="W12" s="27" t="n">
        <v>0</v>
      </c>
      <c r="X12" s="27" t="n">
        <v>0</v>
      </c>
      <c r="Y12" s="29" t="n">
        <f aca="false">C12+G12+J12+M12+P12+S12+V12</f>
        <v>315220.25737799</v>
      </c>
      <c r="Z12" s="29" t="n">
        <f aca="false">D12+H12+K12+N12+Q12+T12+W12</f>
        <v>178408.920699282</v>
      </c>
      <c r="AA12" s="29" t="n">
        <f aca="false">E12+I12+L12+O12+R12+U12+X12</f>
        <v>136811.336678708</v>
      </c>
      <c r="AB12" s="29" t="n">
        <f aca="false">AB11-AA12</f>
        <v>4630286.85347028</v>
      </c>
    </row>
    <row r="13" customFormat="false" ht="15" hidden="false" customHeight="false" outlineLevel="0" collapsed="false">
      <c r="A13" s="8" t="s">
        <v>166</v>
      </c>
      <c r="B13" s="32" t="n">
        <v>2027</v>
      </c>
      <c r="C13" s="33" t="n">
        <f aca="false">D13+E13</f>
        <v>76218.7973779901</v>
      </c>
      <c r="D13" s="33" t="n">
        <f aca="false">F12*Varsayımlar!$B$40*(1+Varsayımlar!$B$41)</f>
        <v>28280.4888420609</v>
      </c>
      <c r="E13" s="33" t="n">
        <f aca="false">MIN(F12,Varsayımlar!$B$44-D13)</f>
        <v>47938.3085359292</v>
      </c>
      <c r="F13" s="33" t="n">
        <f aca="false">F12-E13</f>
        <v>730871.084934354</v>
      </c>
      <c r="G13" s="27" t="n">
        <v>73554.73</v>
      </c>
      <c r="H13" s="27" t="n">
        <v>45215.13</v>
      </c>
      <c r="I13" s="27" t="n">
        <v>28339.6</v>
      </c>
      <c r="J13" s="27" t="n">
        <v>77234.02</v>
      </c>
      <c r="K13" s="27" t="n">
        <v>50110.53</v>
      </c>
      <c r="L13" s="27" t="n">
        <v>27123.49</v>
      </c>
      <c r="M13" s="27" t="n">
        <v>41163.97</v>
      </c>
      <c r="N13" s="27" t="n">
        <v>26291.46</v>
      </c>
      <c r="O13" s="27" t="n">
        <v>14872.51</v>
      </c>
      <c r="P13" s="27" t="n">
        <v>21808.66</v>
      </c>
      <c r="Q13" s="27" t="n">
        <v>11615.1</v>
      </c>
      <c r="R13" s="27" t="n">
        <v>10193.56</v>
      </c>
      <c r="S13" s="27" t="n">
        <v>25240.08</v>
      </c>
      <c r="T13" s="27" t="n">
        <v>9948.63</v>
      </c>
      <c r="U13" s="27" t="n">
        <v>15291.45</v>
      </c>
      <c r="V13" s="27" t="n">
        <v>0</v>
      </c>
      <c r="W13" s="27" t="n">
        <v>0</v>
      </c>
      <c r="X13" s="27" t="n">
        <v>0</v>
      </c>
      <c r="Y13" s="29" t="n">
        <f aca="false">C13+G13+J13+M13+P13+S13+V13</f>
        <v>315220.25737799</v>
      </c>
      <c r="Z13" s="29" t="n">
        <f aca="false">D13+H13+K13+N13+Q13+T13+W13</f>
        <v>171461.338842061</v>
      </c>
      <c r="AA13" s="29" t="n">
        <f aca="false">E13+I13+L13+O13+R13+U13+X13</f>
        <v>143758.918535929</v>
      </c>
      <c r="AB13" s="29" t="n">
        <f aca="false">AB12-AA13</f>
        <v>4486527.93493435</v>
      </c>
    </row>
    <row r="14" customFormat="false" ht="15" hidden="false" customHeight="false" outlineLevel="0" collapsed="false">
      <c r="A14" s="8" t="s">
        <v>167</v>
      </c>
      <c r="B14" s="32" t="n">
        <v>2027</v>
      </c>
      <c r="C14" s="33" t="n">
        <f aca="false">D14+E14</f>
        <v>76218.7973779901</v>
      </c>
      <c r="D14" s="33" t="n">
        <f aca="false">F13*Varsayımlar!$B$40*(1+Varsayımlar!$B$41)</f>
        <v>26539.7306911908</v>
      </c>
      <c r="E14" s="33" t="n">
        <f aca="false">MIN(F13,Varsayımlar!$B$44-D14)</f>
        <v>49679.0666867994</v>
      </c>
      <c r="F14" s="33" t="n">
        <f aca="false">F13-E14</f>
        <v>681192.018247555</v>
      </c>
      <c r="G14" s="27" t="n">
        <v>73554.73</v>
      </c>
      <c r="H14" s="27" t="n">
        <v>44233.16</v>
      </c>
      <c r="I14" s="27" t="n">
        <v>29321.57</v>
      </c>
      <c r="J14" s="27" t="n">
        <v>77234.02</v>
      </c>
      <c r="K14" s="27" t="n">
        <v>49077.66</v>
      </c>
      <c r="L14" s="27" t="n">
        <v>28156.36</v>
      </c>
      <c r="M14" s="27" t="n">
        <v>41163.97</v>
      </c>
      <c r="N14" s="27" t="n">
        <v>25673.33</v>
      </c>
      <c r="O14" s="27" t="n">
        <v>15490.64</v>
      </c>
      <c r="P14" s="27" t="n">
        <v>21808.66</v>
      </c>
      <c r="Q14" s="27" t="n">
        <v>11256.54</v>
      </c>
      <c r="R14" s="27" t="n">
        <v>10552.12</v>
      </c>
      <c r="S14" s="27" t="n">
        <v>25240.08</v>
      </c>
      <c r="T14" s="27" t="n">
        <v>9715.7</v>
      </c>
      <c r="U14" s="27" t="n">
        <v>15524.38</v>
      </c>
      <c r="V14" s="27" t="n">
        <v>0</v>
      </c>
      <c r="W14" s="27" t="n">
        <v>0</v>
      </c>
      <c r="X14" s="27" t="n">
        <v>0</v>
      </c>
      <c r="Y14" s="29" t="n">
        <f aca="false">C14+G14+J14+M14+P14+S14+V14</f>
        <v>315220.25737799</v>
      </c>
      <c r="Z14" s="29" t="n">
        <f aca="false">D14+H14+K14+N14+Q14+T14+W14</f>
        <v>166496.120691191</v>
      </c>
      <c r="AA14" s="29" t="n">
        <f aca="false">E14+I14+L14+O14+R14+U14+X14</f>
        <v>148724.136686799</v>
      </c>
      <c r="AB14" s="29" t="n">
        <f aca="false">AB13-AA14</f>
        <v>4337803.79824756</v>
      </c>
    </row>
    <row r="15" customFormat="false" ht="15" hidden="false" customHeight="false" outlineLevel="0" collapsed="false">
      <c r="A15" s="8" t="s">
        <v>168</v>
      </c>
      <c r="B15" s="32" t="n">
        <v>2027</v>
      </c>
      <c r="C15" s="33" t="n">
        <f aca="false">D15+E15</f>
        <v>76218.7973779901</v>
      </c>
      <c r="D15" s="33" t="n">
        <f aca="false">F14*Varsayımlar!$B$40*(1+Varsayımlar!$B$41)</f>
        <v>24735.7613208937</v>
      </c>
      <c r="E15" s="33" t="n">
        <f aca="false">MIN(F14,Varsayımlar!$B$44-D15)</f>
        <v>51483.0360570964</v>
      </c>
      <c r="F15" s="33" t="n">
        <f aca="false">F14-E15</f>
        <v>629708.982190459</v>
      </c>
      <c r="G15" s="27" t="n">
        <v>73554.73</v>
      </c>
      <c r="H15" s="27" t="n">
        <v>43217.17</v>
      </c>
      <c r="I15" s="27" t="n">
        <v>30337.56</v>
      </c>
      <c r="J15" s="27" t="n">
        <v>77234.02</v>
      </c>
      <c r="K15" s="27" t="n">
        <v>48005.46</v>
      </c>
      <c r="L15" s="27" t="n">
        <v>29228.56</v>
      </c>
      <c r="M15" s="27" t="n">
        <v>41163.97</v>
      </c>
      <c r="N15" s="27" t="n">
        <v>25029.5</v>
      </c>
      <c r="O15" s="27" t="n">
        <v>16134.47</v>
      </c>
      <c r="P15" s="27" t="n">
        <v>21808.66</v>
      </c>
      <c r="Q15" s="27" t="n">
        <v>10885.37</v>
      </c>
      <c r="R15" s="27" t="n">
        <v>10923.29</v>
      </c>
      <c r="S15" s="27" t="n">
        <v>25240.08</v>
      </c>
      <c r="T15" s="27" t="n">
        <v>9432.94</v>
      </c>
      <c r="U15" s="27" t="n">
        <v>15807.14</v>
      </c>
      <c r="V15" s="27" t="n">
        <v>0</v>
      </c>
      <c r="W15" s="27" t="n">
        <v>0</v>
      </c>
      <c r="X15" s="27" t="n">
        <v>0</v>
      </c>
      <c r="Y15" s="29" t="n">
        <f aca="false">C15+G15+J15+M15+P15+S15+V15</f>
        <v>315220.25737799</v>
      </c>
      <c r="Z15" s="29" t="n">
        <f aca="false">D15+H15+K15+N15+Q15+T15+W15</f>
        <v>161306.201320894</v>
      </c>
      <c r="AA15" s="29" t="n">
        <f aca="false">E15+I15+L15+O15+R15+U15+X15</f>
        <v>153914.056057096</v>
      </c>
      <c r="AB15" s="29" t="n">
        <f aca="false">AB14-AA15</f>
        <v>4183889.74219046</v>
      </c>
    </row>
    <row r="16" customFormat="false" ht="15" hidden="false" customHeight="false" outlineLevel="0" collapsed="false">
      <c r="A16" s="8" t="s">
        <v>169</v>
      </c>
      <c r="B16" s="32" t="n">
        <v>2027</v>
      </c>
      <c r="C16" s="33" t="n">
        <f aca="false">D16+E16</f>
        <v>76218.7973779901</v>
      </c>
      <c r="D16" s="33" t="n">
        <f aca="false">F15*Varsayımlar!$B$40*(1+Varsayımlar!$B$41)</f>
        <v>22866.2853759766</v>
      </c>
      <c r="E16" s="33" t="n">
        <f aca="false">MIN(F15,Varsayımlar!$B$44-D16)</f>
        <v>53352.5120020135</v>
      </c>
      <c r="F16" s="33" t="n">
        <f aca="false">F15-E16</f>
        <v>576356.470188445</v>
      </c>
      <c r="G16" s="27" t="n">
        <v>73554.73</v>
      </c>
      <c r="H16" s="27" t="n">
        <v>42165.97</v>
      </c>
      <c r="I16" s="27" t="n">
        <v>31388.76</v>
      </c>
      <c r="J16" s="27" t="n">
        <v>77234.02</v>
      </c>
      <c r="K16" s="27" t="n">
        <v>46892.44</v>
      </c>
      <c r="L16" s="27" t="n">
        <v>30341.58</v>
      </c>
      <c r="M16" s="27" t="n">
        <v>41163.97</v>
      </c>
      <c r="N16" s="27" t="n">
        <v>24358.91</v>
      </c>
      <c r="O16" s="27" t="n">
        <v>16805.06</v>
      </c>
      <c r="P16" s="27" t="n">
        <v>21808.66</v>
      </c>
      <c r="Q16" s="27" t="n">
        <v>10501.14</v>
      </c>
      <c r="R16" s="27" t="n">
        <v>11307.52</v>
      </c>
      <c r="S16" s="27" t="n">
        <v>25240.08</v>
      </c>
      <c r="T16" s="27" t="n">
        <v>8803.89</v>
      </c>
      <c r="U16" s="27" t="n">
        <v>16436.19</v>
      </c>
      <c r="V16" s="27" t="n">
        <v>0</v>
      </c>
      <c r="W16" s="27" t="n">
        <v>0</v>
      </c>
      <c r="X16" s="27" t="n">
        <v>0</v>
      </c>
      <c r="Y16" s="29" t="n">
        <f aca="false">C16+G16+J16+M16+P16+S16+V16</f>
        <v>315220.25737799</v>
      </c>
      <c r="Z16" s="29" t="n">
        <f aca="false">D16+H16+K16+N16+Q16+T16+W16</f>
        <v>155588.635375977</v>
      </c>
      <c r="AA16" s="29" t="n">
        <f aca="false">E16+I16+L16+O16+R16+U16+X16</f>
        <v>159631.622002013</v>
      </c>
      <c r="AB16" s="29" t="n">
        <f aca="false">AB15-AA16</f>
        <v>4024258.12018845</v>
      </c>
    </row>
    <row r="17" customFormat="false" ht="15" hidden="false" customHeight="false" outlineLevel="0" collapsed="false">
      <c r="A17" s="8" t="s">
        <v>170</v>
      </c>
      <c r="B17" s="32" t="n">
        <v>2027</v>
      </c>
      <c r="C17" s="33" t="n">
        <f aca="false">D17+E17</f>
        <v>76218.7973779901</v>
      </c>
      <c r="D17" s="33" t="n">
        <f aca="false">F16*Varsayımlar!$B$40*(1+Varsayımlar!$B$41)</f>
        <v>20928.9241512415</v>
      </c>
      <c r="E17" s="33" t="n">
        <f aca="false">MIN(F16,Varsayımlar!$B$44-D17)</f>
        <v>55289.8732267487</v>
      </c>
      <c r="F17" s="33" t="n">
        <f aca="false">F16-E17</f>
        <v>521066.596961696</v>
      </c>
      <c r="G17" s="27" t="n">
        <v>73554.73</v>
      </c>
      <c r="H17" s="27" t="n">
        <v>41078.35</v>
      </c>
      <c r="I17" s="27" t="n">
        <v>32476.38</v>
      </c>
      <c r="J17" s="27" t="n">
        <v>77234.02</v>
      </c>
      <c r="K17" s="27" t="n">
        <v>45737.03</v>
      </c>
      <c r="L17" s="27" t="n">
        <v>31496.99</v>
      </c>
      <c r="M17" s="27" t="n">
        <v>41163.97</v>
      </c>
      <c r="N17" s="27" t="n">
        <v>23660.45</v>
      </c>
      <c r="O17" s="27" t="n">
        <v>17503.52</v>
      </c>
      <c r="P17" s="27" t="n">
        <v>21808.66</v>
      </c>
      <c r="Q17" s="27" t="n">
        <v>10103.4</v>
      </c>
      <c r="R17" s="27" t="n">
        <v>11705.26</v>
      </c>
      <c r="S17" s="27" t="n">
        <v>25240.08</v>
      </c>
      <c r="T17" s="27" t="n">
        <v>8149.82</v>
      </c>
      <c r="U17" s="27" t="n">
        <v>17090.26</v>
      </c>
      <c r="V17" s="27" t="n">
        <v>0</v>
      </c>
      <c r="W17" s="27" t="n">
        <v>0</v>
      </c>
      <c r="X17" s="27" t="n">
        <v>0</v>
      </c>
      <c r="Y17" s="29" t="n">
        <f aca="false">C17+G17+J17+M17+P17+S17+V17</f>
        <v>315220.25737799</v>
      </c>
      <c r="Z17" s="29" t="n">
        <f aca="false">D17+H17+K17+N17+Q17+T17+W17</f>
        <v>149657.974151241</v>
      </c>
      <c r="AA17" s="29" t="n">
        <f aca="false">E17+I17+L17+O17+R17+U17+X17</f>
        <v>165562.283226749</v>
      </c>
      <c r="AB17" s="29" t="n">
        <f aca="false">AB16-AA17</f>
        <v>3858695.8369617</v>
      </c>
    </row>
    <row r="18" customFormat="false" ht="15" hidden="false" customHeight="false" outlineLevel="0" collapsed="false">
      <c r="A18" s="8" t="s">
        <v>171</v>
      </c>
      <c r="B18" s="32" t="n">
        <v>2027</v>
      </c>
      <c r="C18" s="33" t="n">
        <f aca="false">D18+E18</f>
        <v>76218.7973779901</v>
      </c>
      <c r="D18" s="33" t="n">
        <f aca="false">F17*Varsayımlar!$B$40*(1+Varsayımlar!$B$41)</f>
        <v>18921.2125648407</v>
      </c>
      <c r="E18" s="33" t="n">
        <f aca="false">MIN(F17,Varsayımlar!$B$44-D18)</f>
        <v>57297.5848131494</v>
      </c>
      <c r="F18" s="33" t="n">
        <f aca="false">F17-E18</f>
        <v>463769.012148547</v>
      </c>
      <c r="G18" s="27" t="n">
        <v>73554.73</v>
      </c>
      <c r="H18" s="27" t="n">
        <v>39953.05</v>
      </c>
      <c r="I18" s="27" t="n">
        <v>33601.68</v>
      </c>
      <c r="J18" s="27" t="n">
        <v>77234.02</v>
      </c>
      <c r="K18" s="27" t="n">
        <v>44537.63</v>
      </c>
      <c r="L18" s="27" t="n">
        <v>32696.39</v>
      </c>
      <c r="M18" s="27" t="n">
        <v>41163.97</v>
      </c>
      <c r="N18" s="27" t="n">
        <v>22932.96</v>
      </c>
      <c r="O18" s="27" t="n">
        <v>18231.01</v>
      </c>
      <c r="P18" s="27" t="n">
        <v>21808.66</v>
      </c>
      <c r="Q18" s="27" t="n">
        <v>9691.67</v>
      </c>
      <c r="R18" s="27" t="n">
        <v>12116.99</v>
      </c>
      <c r="S18" s="27" t="n">
        <v>25240.08</v>
      </c>
      <c r="T18" s="27" t="n">
        <v>7986.56</v>
      </c>
      <c r="U18" s="27" t="n">
        <v>17253.52</v>
      </c>
      <c r="V18" s="27" t="n">
        <v>0</v>
      </c>
      <c r="W18" s="27" t="n">
        <v>0</v>
      </c>
      <c r="X18" s="27" t="n">
        <v>0</v>
      </c>
      <c r="Y18" s="29" t="n">
        <f aca="false">C18+G18+J18+M18+P18+S18+V18</f>
        <v>315220.25737799</v>
      </c>
      <c r="Z18" s="29" t="n">
        <f aca="false">D18+H18+K18+N18+Q18+T18+W18</f>
        <v>144023.082564841</v>
      </c>
      <c r="AA18" s="29" t="n">
        <f aca="false">E18+I18+L18+O18+R18+U18+X18</f>
        <v>171197.174813149</v>
      </c>
      <c r="AB18" s="29" t="n">
        <f aca="false">AB17-AA18</f>
        <v>3687498.66214855</v>
      </c>
    </row>
    <row r="19" customFormat="false" ht="15" hidden="false" customHeight="false" outlineLevel="0" collapsed="false">
      <c r="A19" s="8" t="s">
        <v>172</v>
      </c>
      <c r="B19" s="32" t="n">
        <v>2027</v>
      </c>
      <c r="C19" s="33" t="n">
        <f aca="false">D19+E19</f>
        <v>76218.7973779901</v>
      </c>
      <c r="D19" s="33" t="n">
        <f aca="false">F18*Varsayımlar!$B$40*(1+Varsayımlar!$B$41)</f>
        <v>16840.5960217287</v>
      </c>
      <c r="E19" s="33" t="n">
        <f aca="false">MIN(F18,Varsayımlar!$B$44-D19)</f>
        <v>59378.2013562614</v>
      </c>
      <c r="F19" s="33" t="n">
        <f aca="false">F18-E19</f>
        <v>404390.810792286</v>
      </c>
      <c r="G19" s="27" t="n">
        <v>73554.73</v>
      </c>
      <c r="H19" s="27" t="n">
        <v>38788.75</v>
      </c>
      <c r="I19" s="27" t="n">
        <v>34765.98</v>
      </c>
      <c r="J19" s="27" t="n">
        <v>77234.02</v>
      </c>
      <c r="K19" s="27" t="n">
        <v>43292.55</v>
      </c>
      <c r="L19" s="27" t="n">
        <v>33941.47</v>
      </c>
      <c r="M19" s="27" t="n">
        <v>41163.97</v>
      </c>
      <c r="N19" s="27" t="n">
        <v>22175.23</v>
      </c>
      <c r="O19" s="27" t="n">
        <v>18988.74</v>
      </c>
      <c r="P19" s="27" t="n">
        <v>21808.66</v>
      </c>
      <c r="Q19" s="27" t="n">
        <v>9265.45</v>
      </c>
      <c r="R19" s="27" t="n">
        <v>12543.21</v>
      </c>
      <c r="S19" s="27" t="n">
        <v>25240.08</v>
      </c>
      <c r="T19" s="27" t="n">
        <v>6330.89</v>
      </c>
      <c r="U19" s="27" t="n">
        <v>18909.19</v>
      </c>
      <c r="V19" s="27" t="n">
        <v>0</v>
      </c>
      <c r="W19" s="27" t="n">
        <v>0</v>
      </c>
      <c r="X19" s="27" t="n">
        <v>0</v>
      </c>
      <c r="Y19" s="29" t="n">
        <f aca="false">C19+G19+J19+M19+P19+S19+V19</f>
        <v>315220.25737799</v>
      </c>
      <c r="Z19" s="29" t="n">
        <f aca="false">D19+H19+K19+N19+Q19+T19+W19</f>
        <v>136693.466021729</v>
      </c>
      <c r="AA19" s="29" t="n">
        <f aca="false">E19+I19+L19+O19+R19+U19+X19</f>
        <v>178526.791356261</v>
      </c>
      <c r="AB19" s="29" t="n">
        <f aca="false">AB18-AA19</f>
        <v>3508971.87079229</v>
      </c>
    </row>
    <row r="20" customFormat="false" ht="15" hidden="false" customHeight="false" outlineLevel="0" collapsed="false">
      <c r="A20" s="8" t="s">
        <v>173</v>
      </c>
      <c r="B20" s="32" t="n">
        <v>2027</v>
      </c>
      <c r="C20" s="33" t="n">
        <f aca="false">D20+E20</f>
        <v>76218.7973779901</v>
      </c>
      <c r="D20" s="33" t="n">
        <f aca="false">F19*Varsayımlar!$B$40*(1+Varsayımlar!$B$41)</f>
        <v>14684.4271632165</v>
      </c>
      <c r="E20" s="33" t="n">
        <f aca="false">MIN(F19,Varsayımlar!$B$44-D20)</f>
        <v>61534.3702147736</v>
      </c>
      <c r="F20" s="33" t="n">
        <f aca="false">F19-E20</f>
        <v>342856.440577512</v>
      </c>
      <c r="G20" s="27" t="n">
        <v>73554.73</v>
      </c>
      <c r="H20" s="27" t="n">
        <v>37584.11</v>
      </c>
      <c r="I20" s="27" t="n">
        <v>35970.62</v>
      </c>
      <c r="J20" s="27" t="n">
        <v>77234.02</v>
      </c>
      <c r="K20" s="27" t="n">
        <v>42000.06</v>
      </c>
      <c r="L20" s="27" t="n">
        <v>35233.96</v>
      </c>
      <c r="M20" s="27" t="n">
        <v>41163.97</v>
      </c>
      <c r="N20" s="27" t="n">
        <v>21386.01</v>
      </c>
      <c r="O20" s="27" t="n">
        <v>19777.96</v>
      </c>
      <c r="P20" s="27" t="n">
        <v>21808.66</v>
      </c>
      <c r="Q20" s="27" t="n">
        <v>8824.24</v>
      </c>
      <c r="R20" s="27" t="n">
        <v>12984.42</v>
      </c>
      <c r="S20" s="27" t="n">
        <v>25240.08</v>
      </c>
      <c r="T20" s="27" t="n">
        <v>6030.61</v>
      </c>
      <c r="U20" s="27" t="n">
        <v>19209.47</v>
      </c>
      <c r="V20" s="27" t="n">
        <v>0</v>
      </c>
      <c r="W20" s="27" t="n">
        <v>0</v>
      </c>
      <c r="X20" s="27" t="n">
        <v>0</v>
      </c>
      <c r="Y20" s="29" t="n">
        <f aca="false">C20+G20+J20+M20+P20+S20+V20</f>
        <v>315220.25737799</v>
      </c>
      <c r="Z20" s="29" t="n">
        <f aca="false">D20+H20+K20+N20+Q20+T20+W20</f>
        <v>130509.457163216</v>
      </c>
      <c r="AA20" s="29" t="n">
        <f aca="false">E20+I20+L20+O20+R20+U20+X20</f>
        <v>184710.800214774</v>
      </c>
      <c r="AB20" s="29" t="n">
        <f aca="false">AB19-AA20</f>
        <v>3324261.07057751</v>
      </c>
    </row>
    <row r="21" customFormat="false" ht="15" hidden="false" customHeight="false" outlineLevel="0" collapsed="false">
      <c r="A21" s="8" t="s">
        <v>174</v>
      </c>
      <c r="B21" s="32" t="n">
        <v>2028</v>
      </c>
      <c r="C21" s="33" t="n">
        <f aca="false">D21+E21</f>
        <v>76218.7973779901</v>
      </c>
      <c r="D21" s="33" t="n">
        <f aca="false">F20*Varsayımlar!$B$40*(1+Varsayımlar!$B$41)</f>
        <v>12449.9624984955</v>
      </c>
      <c r="E21" s="33" t="n">
        <f aca="false">MIN(F20,Varsayımlar!$B$44-D21)</f>
        <v>63768.8348794946</v>
      </c>
      <c r="F21" s="33" t="n">
        <f aca="false">F20-E21</f>
        <v>279087.605698017</v>
      </c>
      <c r="G21" s="27" t="n">
        <v>73554.73</v>
      </c>
      <c r="H21" s="27" t="n">
        <v>36337.73</v>
      </c>
      <c r="I21" s="27" t="n">
        <v>37217</v>
      </c>
      <c r="J21" s="27" t="n">
        <v>77234.02</v>
      </c>
      <c r="K21" s="27" t="n">
        <v>40658.35</v>
      </c>
      <c r="L21" s="27" t="n">
        <v>36575.67</v>
      </c>
      <c r="M21" s="27" t="n">
        <v>41163.97</v>
      </c>
      <c r="N21" s="27" t="n">
        <v>20564</v>
      </c>
      <c r="O21" s="27" t="n">
        <v>20599.97</v>
      </c>
      <c r="P21" s="27" t="n">
        <v>21808.66</v>
      </c>
      <c r="Q21" s="27" t="n">
        <v>8367.52</v>
      </c>
      <c r="R21" s="27" t="n">
        <v>13441.14</v>
      </c>
      <c r="S21" s="27" t="n">
        <v>25240.08</v>
      </c>
      <c r="T21" s="27" t="n">
        <v>5448.37</v>
      </c>
      <c r="U21" s="27" t="n">
        <v>19791.71</v>
      </c>
      <c r="V21" s="27" t="n">
        <v>0</v>
      </c>
      <c r="W21" s="27" t="n">
        <v>0</v>
      </c>
      <c r="X21" s="27" t="n">
        <v>0</v>
      </c>
      <c r="Y21" s="29" t="n">
        <f aca="false">C21+G21+J21+M21+P21+S21+V21</f>
        <v>315220.25737799</v>
      </c>
      <c r="Z21" s="29" t="n">
        <f aca="false">D21+H21+K21+N21+Q21+T21+W21</f>
        <v>123825.932498495</v>
      </c>
      <c r="AA21" s="29" t="n">
        <f aca="false">E21+I21+L21+O21+R21+U21+X21</f>
        <v>191394.324879495</v>
      </c>
      <c r="AB21" s="29" t="n">
        <f aca="false">AB20-AA21</f>
        <v>3132866.74569802</v>
      </c>
    </row>
    <row r="22" customFormat="false" ht="15" hidden="false" customHeight="false" outlineLevel="0" collapsed="false">
      <c r="A22" s="8" t="s">
        <v>175</v>
      </c>
      <c r="B22" s="32" t="n">
        <v>2028</v>
      </c>
      <c r="C22" s="33" t="n">
        <f aca="false">D22+E22</f>
        <v>76218.7973779901</v>
      </c>
      <c r="D22" s="33" t="n">
        <f aca="false">F21*Varsayımlar!$B$40*(1+Varsayımlar!$B$41)</f>
        <v>10134.3589138431</v>
      </c>
      <c r="E22" s="33" t="n">
        <f aca="false">MIN(F21,Varsayımlar!$B$44-D22)</f>
        <v>66084.4384641471</v>
      </c>
      <c r="F22" s="33" t="n">
        <f aca="false">F21-E22</f>
        <v>213003.16723387</v>
      </c>
      <c r="G22" s="27" t="n">
        <v>73554.73</v>
      </c>
      <c r="H22" s="27" t="n">
        <v>35048.16</v>
      </c>
      <c r="I22" s="27" t="n">
        <v>38506.57</v>
      </c>
      <c r="J22" s="27" t="n">
        <v>77234.02</v>
      </c>
      <c r="K22" s="27" t="n">
        <v>39265.55</v>
      </c>
      <c r="L22" s="27" t="n">
        <v>37968.47</v>
      </c>
      <c r="M22" s="27" t="n">
        <v>41163.97</v>
      </c>
      <c r="N22" s="27" t="n">
        <v>19707.81</v>
      </c>
      <c r="O22" s="27" t="n">
        <v>21456.16</v>
      </c>
      <c r="P22" s="27" t="n">
        <v>21808.66</v>
      </c>
      <c r="Q22" s="27" t="n">
        <v>7894.73</v>
      </c>
      <c r="R22" s="27" t="n">
        <v>13913.93</v>
      </c>
      <c r="S22" s="27" t="n">
        <v>25240.08</v>
      </c>
      <c r="T22" s="27" t="n">
        <v>4329.28</v>
      </c>
      <c r="U22" s="27" t="n">
        <v>20910.8</v>
      </c>
      <c r="V22" s="27" t="n">
        <v>0</v>
      </c>
      <c r="W22" s="27" t="n">
        <v>0</v>
      </c>
      <c r="X22" s="27" t="n">
        <v>0</v>
      </c>
      <c r="Y22" s="29" t="n">
        <f aca="false">C22+G22+J22+M22+P22+S22+V22</f>
        <v>315220.25737799</v>
      </c>
      <c r="Z22" s="29" t="n">
        <f aca="false">D22+H22+K22+N22+Q22+T22+W22</f>
        <v>116379.888913843</v>
      </c>
      <c r="AA22" s="29" t="n">
        <f aca="false">E22+I22+L22+O22+R22+U22+X22</f>
        <v>198840.368464147</v>
      </c>
      <c r="AB22" s="29" t="n">
        <f aca="false">AB21-AA22</f>
        <v>2934026.37723387</v>
      </c>
    </row>
    <row r="23" customFormat="false" ht="15" hidden="false" customHeight="false" outlineLevel="0" collapsed="false">
      <c r="A23" s="8" t="s">
        <v>176</v>
      </c>
      <c r="B23" s="32" t="n">
        <v>2028</v>
      </c>
      <c r="C23" s="33" t="n">
        <f aca="false">D23+E23</f>
        <v>76218.7973779901</v>
      </c>
      <c r="D23" s="33" t="n">
        <f aca="false">F22*Varsayımlar!$B$40*(1+Varsayımlar!$B$41)</f>
        <v>7734.67005506906</v>
      </c>
      <c r="E23" s="33" t="n">
        <f aca="false">MIN(F22,Varsayımlar!$B$44-D23)</f>
        <v>68484.1273229211</v>
      </c>
      <c r="F23" s="33" t="n">
        <f aca="false">F22-E23</f>
        <v>144519.039910949</v>
      </c>
      <c r="G23" s="27" t="n">
        <v>73554.73</v>
      </c>
      <c r="H23" s="27" t="n">
        <v>33713.9</v>
      </c>
      <c r="I23" s="27" t="n">
        <v>39840.83</v>
      </c>
      <c r="J23" s="27" t="n">
        <v>77234.02</v>
      </c>
      <c r="K23" s="27" t="n">
        <v>37819.71</v>
      </c>
      <c r="L23" s="27" t="n">
        <v>39414.31</v>
      </c>
      <c r="M23" s="27" t="n">
        <v>41163.97</v>
      </c>
      <c r="N23" s="27" t="n">
        <v>18816.03</v>
      </c>
      <c r="O23" s="27" t="n">
        <v>22347.94</v>
      </c>
      <c r="P23" s="27" t="n">
        <v>21808.66</v>
      </c>
      <c r="Q23" s="27" t="n">
        <v>7405.3</v>
      </c>
      <c r="R23" s="27" t="n">
        <v>14403.36</v>
      </c>
      <c r="S23" s="27" t="n">
        <v>25240.08</v>
      </c>
      <c r="T23" s="27" t="n">
        <v>3646.41</v>
      </c>
      <c r="U23" s="27" t="n">
        <v>21593.67</v>
      </c>
      <c r="V23" s="27" t="n">
        <v>0</v>
      </c>
      <c r="W23" s="27" t="n">
        <v>0</v>
      </c>
      <c r="X23" s="27" t="n">
        <v>0</v>
      </c>
      <c r="Y23" s="29" t="n">
        <f aca="false">C23+G23+J23+M23+P23+S23+V23</f>
        <v>315220.25737799</v>
      </c>
      <c r="Z23" s="29" t="n">
        <f aca="false">D23+H23+K23+N23+Q23+T23+W23</f>
        <v>109136.020055069</v>
      </c>
      <c r="AA23" s="29" t="n">
        <f aca="false">E23+I23+L23+O23+R23+U23+X23</f>
        <v>206084.237322921</v>
      </c>
      <c r="AB23" s="29" t="n">
        <f aca="false">AB22-AA23</f>
        <v>2727942.13991095</v>
      </c>
    </row>
    <row r="24" customFormat="false" ht="15" hidden="false" customHeight="false" outlineLevel="0" collapsed="false">
      <c r="A24" s="8" t="s">
        <v>177</v>
      </c>
      <c r="B24" s="32" t="n">
        <v>2028</v>
      </c>
      <c r="C24" s="33" t="n">
        <f aca="false">D24+E24</f>
        <v>76218.7973779901</v>
      </c>
      <c r="D24" s="33" t="n">
        <f aca="false">F23*Varsayımlar!$B$40*(1+Varsayımlar!$B$41)</f>
        <v>5247.84257859994</v>
      </c>
      <c r="E24" s="33" t="n">
        <f aca="false">MIN(F23,Varsayımlar!$B$44-D24)</f>
        <v>70970.9547993902</v>
      </c>
      <c r="F24" s="33" t="n">
        <f aca="false">F23-E24</f>
        <v>73548.085111559</v>
      </c>
      <c r="G24" s="27" t="n">
        <v>73554.73</v>
      </c>
      <c r="H24" s="27" t="n">
        <v>32333.42</v>
      </c>
      <c r="I24" s="27" t="n">
        <v>41221.31</v>
      </c>
      <c r="J24" s="27" t="n">
        <v>77234.02</v>
      </c>
      <c r="K24" s="27" t="n">
        <v>36318.82</v>
      </c>
      <c r="L24" s="27" t="n">
        <v>40915.2</v>
      </c>
      <c r="M24" s="27" t="n">
        <v>41163.97</v>
      </c>
      <c r="N24" s="27" t="n">
        <v>17887.2</v>
      </c>
      <c r="O24" s="27" t="n">
        <v>23276.77</v>
      </c>
      <c r="P24" s="27" t="n">
        <v>21808.66</v>
      </c>
      <c r="Q24" s="27" t="n">
        <v>6898.67</v>
      </c>
      <c r="R24" s="27" t="n">
        <v>14909.99</v>
      </c>
      <c r="S24" s="27" t="n">
        <v>25240.08</v>
      </c>
      <c r="T24" s="27" t="n">
        <v>2883.52</v>
      </c>
      <c r="U24" s="27" t="n">
        <v>22356.56</v>
      </c>
      <c r="V24" s="27" t="n">
        <v>0</v>
      </c>
      <c r="W24" s="27" t="n">
        <v>0</v>
      </c>
      <c r="X24" s="27" t="n">
        <v>0</v>
      </c>
      <c r="Y24" s="29" t="n">
        <f aca="false">C24+G24+J24+M24+P24+S24+V24</f>
        <v>315220.25737799</v>
      </c>
      <c r="Z24" s="29" t="n">
        <f aca="false">D24+H24+K24+N24+Q24+T24+W24</f>
        <v>101569.4725786</v>
      </c>
      <c r="AA24" s="29" t="n">
        <f aca="false">E24+I24+L24+O24+R24+U24+X24</f>
        <v>213650.78479939</v>
      </c>
      <c r="AB24" s="29" t="n">
        <f aca="false">AB23-AA24</f>
        <v>2514291.35511156</v>
      </c>
    </row>
    <row r="25" customFormat="false" ht="15" hidden="false" customHeight="false" outlineLevel="0" collapsed="false">
      <c r="A25" s="8" t="s">
        <v>178</v>
      </c>
      <c r="B25" s="32" t="n">
        <v>2028</v>
      </c>
      <c r="C25" s="33" t="n">
        <f aca="false">D25+E25</f>
        <v>76218.7973779895</v>
      </c>
      <c r="D25" s="33" t="n">
        <f aca="false">F24*Varsayımlar!$B$40*(1+Varsayımlar!$B$41)</f>
        <v>2670.71226643051</v>
      </c>
      <c r="E25" s="33" t="n">
        <f aca="false">F24</f>
        <v>73548.085111559</v>
      </c>
      <c r="F25" s="33" t="n">
        <f aca="false">F24-E25</f>
        <v>0</v>
      </c>
      <c r="G25" s="27" t="n">
        <v>73554.73</v>
      </c>
      <c r="H25" s="27" t="n">
        <v>30905.1</v>
      </c>
      <c r="I25" s="27" t="n">
        <v>42649.63</v>
      </c>
      <c r="J25" s="27" t="n">
        <v>77234.02</v>
      </c>
      <c r="K25" s="27" t="n">
        <v>34760.76</v>
      </c>
      <c r="L25" s="27" t="n">
        <v>42473.26</v>
      </c>
      <c r="M25" s="27" t="n">
        <v>41163.97</v>
      </c>
      <c r="N25" s="27" t="n">
        <v>16919.76</v>
      </c>
      <c r="O25" s="27" t="n">
        <v>24244.21</v>
      </c>
      <c r="P25" s="27" t="n">
        <v>21808.66</v>
      </c>
      <c r="Q25" s="27" t="n">
        <v>6374.2</v>
      </c>
      <c r="R25" s="27" t="n">
        <v>15434.46</v>
      </c>
      <c r="S25" s="27" t="n">
        <v>25240.08</v>
      </c>
      <c r="T25" s="27" t="n">
        <v>1834.17</v>
      </c>
      <c r="U25" s="27" t="n">
        <v>23405.91</v>
      </c>
      <c r="V25" s="27" t="n">
        <v>0</v>
      </c>
      <c r="W25" s="27" t="n">
        <v>0</v>
      </c>
      <c r="X25" s="27" t="n">
        <v>0</v>
      </c>
      <c r="Y25" s="29" t="n">
        <f aca="false">C25+G25+J25+M25+P25+S25+V25</f>
        <v>315220.25737799</v>
      </c>
      <c r="Z25" s="29" t="n">
        <f aca="false">D25+H25+K25+N25+Q25+T25+W25</f>
        <v>93464.7022664305</v>
      </c>
      <c r="AA25" s="29" t="n">
        <f aca="false">E25+I25+L25+O25+R25+U25+X25</f>
        <v>221755.555111559</v>
      </c>
      <c r="AB25" s="29" t="n">
        <f aca="false">AB24-AA25</f>
        <v>2292535.8</v>
      </c>
    </row>
    <row r="26" customFormat="false" ht="15" hidden="false" customHeight="false" outlineLevel="0" collapsed="false">
      <c r="A26" s="8" t="s">
        <v>179</v>
      </c>
      <c r="B26" s="32" t="n">
        <v>2028</v>
      </c>
      <c r="C26" s="33" t="n">
        <v>0</v>
      </c>
      <c r="D26" s="33" t="n">
        <v>0</v>
      </c>
      <c r="E26" s="33" t="n">
        <v>0</v>
      </c>
      <c r="F26" s="33" t="n">
        <v>0</v>
      </c>
      <c r="G26" s="27" t="n">
        <v>73554.73</v>
      </c>
      <c r="H26" s="27" t="n">
        <v>29427.29</v>
      </c>
      <c r="I26" s="27" t="n">
        <v>44127.44</v>
      </c>
      <c r="J26" s="27" t="n">
        <v>77234.02</v>
      </c>
      <c r="K26" s="27" t="n">
        <v>33143.39</v>
      </c>
      <c r="L26" s="27" t="n">
        <v>44090.63</v>
      </c>
      <c r="M26" s="27" t="n">
        <v>41163.97</v>
      </c>
      <c r="N26" s="27" t="n">
        <v>15912.11</v>
      </c>
      <c r="O26" s="27" t="n">
        <v>25251.86</v>
      </c>
      <c r="P26" s="27" t="n">
        <v>21808.66</v>
      </c>
      <c r="Q26" s="27" t="n">
        <v>5831.3</v>
      </c>
      <c r="R26" s="27" t="n">
        <v>15977.36</v>
      </c>
      <c r="S26" s="27" t="n">
        <v>25239.78</v>
      </c>
      <c r="T26" s="27" t="n">
        <v>965.98</v>
      </c>
      <c r="U26" s="27" t="n">
        <v>24273.8</v>
      </c>
      <c r="V26" s="27" t="n">
        <v>0</v>
      </c>
      <c r="W26" s="27" t="n">
        <v>0</v>
      </c>
      <c r="X26" s="27" t="n">
        <v>0</v>
      </c>
      <c r="Y26" s="29" t="n">
        <f aca="false">C26+G26+J26+M26+P26+S26+V26</f>
        <v>239001.16</v>
      </c>
      <c r="Z26" s="29" t="n">
        <f aca="false">D26+H26+K26+N26+Q26+T26+W26</f>
        <v>85280.07</v>
      </c>
      <c r="AA26" s="29" t="n">
        <f aca="false">E26+I26+L26+O26+R26+U26+X26</f>
        <v>153721.09</v>
      </c>
      <c r="AB26" s="29" t="n">
        <f aca="false">AB25-AA26</f>
        <v>2138814.71</v>
      </c>
    </row>
    <row r="27" customFormat="false" ht="15" hidden="false" customHeight="false" outlineLevel="0" collapsed="false">
      <c r="A27" s="8" t="s">
        <v>180</v>
      </c>
      <c r="B27" s="32" t="n">
        <v>2028</v>
      </c>
      <c r="C27" s="33" t="n">
        <v>0</v>
      </c>
      <c r="D27" s="33" t="n">
        <v>0</v>
      </c>
      <c r="E27" s="33" t="n">
        <v>0</v>
      </c>
      <c r="F27" s="33" t="n">
        <v>0</v>
      </c>
      <c r="G27" s="27" t="n">
        <v>73554.73</v>
      </c>
      <c r="H27" s="27" t="n">
        <v>27898.28</v>
      </c>
      <c r="I27" s="27" t="n">
        <v>45656.45</v>
      </c>
      <c r="J27" s="27" t="n">
        <v>77234.02</v>
      </c>
      <c r="K27" s="27" t="n">
        <v>31464.42</v>
      </c>
      <c r="L27" s="27" t="n">
        <v>45769.6</v>
      </c>
      <c r="M27" s="27" t="n">
        <v>41163.97</v>
      </c>
      <c r="N27" s="27" t="n">
        <v>14862.58</v>
      </c>
      <c r="O27" s="27" t="n">
        <v>26301.39</v>
      </c>
      <c r="P27" s="27" t="n">
        <v>21808.66</v>
      </c>
      <c r="Q27" s="27" t="n">
        <v>5269.3</v>
      </c>
      <c r="R27" s="27" t="n">
        <v>16539.36</v>
      </c>
      <c r="S27" s="27" t="n">
        <v>0</v>
      </c>
      <c r="T27" s="27" t="n">
        <v>0</v>
      </c>
      <c r="U27" s="27" t="n">
        <v>0</v>
      </c>
      <c r="V27" s="27" t="n">
        <v>0</v>
      </c>
      <c r="W27" s="27" t="n">
        <v>0</v>
      </c>
      <c r="X27" s="27" t="n">
        <v>0</v>
      </c>
      <c r="Y27" s="29" t="n">
        <f aca="false">C27+G27+J27+M27+P27+S27+V27</f>
        <v>213761.38</v>
      </c>
      <c r="Z27" s="29" t="n">
        <f aca="false">D27+H27+K27+N27+Q27+T27+W27</f>
        <v>79494.58</v>
      </c>
      <c r="AA27" s="29" t="n">
        <f aca="false">E27+I27+L27+O27+R27+U27+X27</f>
        <v>134266.8</v>
      </c>
      <c r="AB27" s="29" t="n">
        <f aca="false">AB26-AA27</f>
        <v>2004547.91</v>
      </c>
    </row>
    <row r="28" customFormat="false" ht="15" hidden="false" customHeight="false" outlineLevel="0" collapsed="false">
      <c r="A28" s="8" t="s">
        <v>181</v>
      </c>
      <c r="B28" s="32" t="n">
        <v>2028</v>
      </c>
      <c r="C28" s="33" t="n">
        <v>0</v>
      </c>
      <c r="D28" s="33" t="n">
        <v>0</v>
      </c>
      <c r="E28" s="33" t="n">
        <v>0</v>
      </c>
      <c r="F28" s="33" t="n">
        <v>0</v>
      </c>
      <c r="G28" s="27" t="n">
        <v>73554.73</v>
      </c>
      <c r="H28" s="27" t="n">
        <v>26316.28</v>
      </c>
      <c r="I28" s="27" t="n">
        <v>47238.45</v>
      </c>
      <c r="J28" s="27" t="n">
        <v>77234.02</v>
      </c>
      <c r="K28" s="27" t="n">
        <v>29721.51</v>
      </c>
      <c r="L28" s="27" t="n">
        <v>47512.51</v>
      </c>
      <c r="M28" s="27" t="n">
        <v>41163.97</v>
      </c>
      <c r="N28" s="27" t="n">
        <v>13769.43</v>
      </c>
      <c r="O28" s="27" t="n">
        <v>27394.54</v>
      </c>
      <c r="P28" s="27" t="n">
        <v>21808.66</v>
      </c>
      <c r="Q28" s="27" t="n">
        <v>4687.53</v>
      </c>
      <c r="R28" s="27" t="n">
        <v>17121.13</v>
      </c>
      <c r="S28" s="27" t="n">
        <v>0</v>
      </c>
      <c r="T28" s="27" t="n">
        <v>0</v>
      </c>
      <c r="U28" s="27" t="n">
        <v>0</v>
      </c>
      <c r="V28" s="27" t="n">
        <v>0</v>
      </c>
      <c r="W28" s="27" t="n">
        <v>0</v>
      </c>
      <c r="X28" s="27" t="n">
        <v>0</v>
      </c>
      <c r="Y28" s="29" t="n">
        <f aca="false">C28+G28+J28+M28+P28+S28+V28</f>
        <v>213761.38</v>
      </c>
      <c r="Z28" s="29" t="n">
        <f aca="false">D28+H28+K28+N28+Q28+T28+W28</f>
        <v>74494.75</v>
      </c>
      <c r="AA28" s="29" t="n">
        <f aca="false">E28+I28+L28+O28+R28+U28+X28</f>
        <v>139266.63</v>
      </c>
      <c r="AB28" s="29" t="n">
        <f aca="false">AB27-AA28</f>
        <v>1865281.28</v>
      </c>
    </row>
    <row r="29" customFormat="false" ht="15" hidden="false" customHeight="false" outlineLevel="0" collapsed="false">
      <c r="A29" s="8" t="s">
        <v>182</v>
      </c>
      <c r="B29" s="32" t="n">
        <v>2028</v>
      </c>
      <c r="C29" s="33" t="n">
        <v>0</v>
      </c>
      <c r="D29" s="33" t="n">
        <v>0</v>
      </c>
      <c r="E29" s="33" t="n">
        <v>0</v>
      </c>
      <c r="F29" s="33" t="n">
        <v>0</v>
      </c>
      <c r="G29" s="27" t="n">
        <v>73554.73</v>
      </c>
      <c r="H29" s="27" t="n">
        <v>24679.46</v>
      </c>
      <c r="I29" s="27" t="n">
        <v>48875.27</v>
      </c>
      <c r="J29" s="27" t="n">
        <v>77234.02</v>
      </c>
      <c r="K29" s="27" t="n">
        <v>27912.23</v>
      </c>
      <c r="L29" s="27" t="n">
        <v>49321.79</v>
      </c>
      <c r="M29" s="27" t="n">
        <v>41163.97</v>
      </c>
      <c r="N29" s="27" t="n">
        <v>12630.84</v>
      </c>
      <c r="O29" s="27" t="n">
        <v>28533.13</v>
      </c>
      <c r="P29" s="27" t="n">
        <v>21808.66</v>
      </c>
      <c r="Q29" s="27" t="n">
        <v>4085.29</v>
      </c>
      <c r="R29" s="27" t="n">
        <v>17723.37</v>
      </c>
      <c r="S29" s="27" t="n">
        <v>0</v>
      </c>
      <c r="T29" s="27" t="n">
        <v>0</v>
      </c>
      <c r="U29" s="27" t="n">
        <v>0</v>
      </c>
      <c r="V29" s="27" t="n">
        <v>0</v>
      </c>
      <c r="W29" s="27" t="n">
        <v>0</v>
      </c>
      <c r="X29" s="27" t="n">
        <v>0</v>
      </c>
      <c r="Y29" s="29" t="n">
        <f aca="false">C29+G29+J29+M29+P29+S29+V29</f>
        <v>213761.38</v>
      </c>
      <c r="Z29" s="29" t="n">
        <f aca="false">D29+H29+K29+N29+Q29+T29+W29</f>
        <v>69307.82</v>
      </c>
      <c r="AA29" s="29" t="n">
        <f aca="false">E29+I29+L29+O29+R29+U29+X29</f>
        <v>144453.56</v>
      </c>
      <c r="AB29" s="29" t="n">
        <f aca="false">AB28-AA29</f>
        <v>1720827.72</v>
      </c>
    </row>
    <row r="30" customFormat="false" ht="15" hidden="false" customHeight="false" outlineLevel="0" collapsed="false">
      <c r="A30" s="8" t="s">
        <v>183</v>
      </c>
      <c r="B30" s="32" t="n">
        <v>2028</v>
      </c>
      <c r="C30" s="33" t="n">
        <v>0</v>
      </c>
      <c r="D30" s="33" t="n">
        <v>0</v>
      </c>
      <c r="E30" s="33" t="n">
        <v>0</v>
      </c>
      <c r="F30" s="33" t="n">
        <v>0</v>
      </c>
      <c r="G30" s="27" t="n">
        <v>73554.73</v>
      </c>
      <c r="H30" s="27" t="n">
        <v>22985.94</v>
      </c>
      <c r="I30" s="27" t="n">
        <v>50568.79</v>
      </c>
      <c r="J30" s="27" t="n">
        <v>77234.02</v>
      </c>
      <c r="K30" s="27" t="n">
        <v>26034.06</v>
      </c>
      <c r="L30" s="27" t="n">
        <v>51199.96</v>
      </c>
      <c r="M30" s="27" t="n">
        <v>41163.97</v>
      </c>
      <c r="N30" s="27" t="n">
        <v>11444.94</v>
      </c>
      <c r="O30" s="27" t="n">
        <v>29719.03</v>
      </c>
      <c r="P30" s="27" t="n">
        <v>21808.66</v>
      </c>
      <c r="Q30" s="27" t="n">
        <v>3461.87</v>
      </c>
      <c r="R30" s="27" t="n">
        <v>18346.79</v>
      </c>
      <c r="S30" s="27" t="n">
        <v>0</v>
      </c>
      <c r="T30" s="27" t="n">
        <v>0</v>
      </c>
      <c r="U30" s="27" t="n">
        <v>0</v>
      </c>
      <c r="V30" s="27" t="n">
        <v>0</v>
      </c>
      <c r="W30" s="27" t="n">
        <v>0</v>
      </c>
      <c r="X30" s="27" t="n">
        <v>0</v>
      </c>
      <c r="Y30" s="29" t="n">
        <f aca="false">C30+G30+J30+M30+P30+S30+V30</f>
        <v>213761.38</v>
      </c>
      <c r="Z30" s="29" t="n">
        <f aca="false">D30+H30+K30+N30+Q30+T30+W30</f>
        <v>63926.81</v>
      </c>
      <c r="AA30" s="29" t="n">
        <f aca="false">E30+I30+L30+O30+R30+U30+X30</f>
        <v>149834.57</v>
      </c>
      <c r="AB30" s="29" t="n">
        <f aca="false">AB29-AA30</f>
        <v>1570993.15</v>
      </c>
    </row>
    <row r="31" customFormat="false" ht="15" hidden="false" customHeight="false" outlineLevel="0" collapsed="false">
      <c r="A31" s="8" t="s">
        <v>184</v>
      </c>
      <c r="B31" s="32" t="n">
        <v>2028</v>
      </c>
      <c r="C31" s="33" t="n">
        <v>0</v>
      </c>
      <c r="D31" s="33" t="n">
        <v>0</v>
      </c>
      <c r="E31" s="33" t="n">
        <v>0</v>
      </c>
      <c r="F31" s="33" t="n">
        <v>0</v>
      </c>
      <c r="G31" s="27" t="n">
        <v>73554.73</v>
      </c>
      <c r="H31" s="27" t="n">
        <v>21233.73</v>
      </c>
      <c r="I31" s="27" t="n">
        <v>52321</v>
      </c>
      <c r="J31" s="27" t="n">
        <v>77234.02</v>
      </c>
      <c r="K31" s="27" t="n">
        <v>24084.36</v>
      </c>
      <c r="L31" s="27" t="n">
        <v>53149.66</v>
      </c>
      <c r="M31" s="27" t="n">
        <v>41163.97</v>
      </c>
      <c r="N31" s="27" t="n">
        <v>10209.74</v>
      </c>
      <c r="O31" s="27" t="n">
        <v>30954.23</v>
      </c>
      <c r="P31" s="27" t="n">
        <v>21808.66</v>
      </c>
      <c r="Q31" s="27" t="n">
        <v>2816.52</v>
      </c>
      <c r="R31" s="27" t="n">
        <v>18992.14</v>
      </c>
      <c r="S31" s="27" t="n">
        <v>0</v>
      </c>
      <c r="T31" s="27" t="n">
        <v>0</v>
      </c>
      <c r="U31" s="27" t="n">
        <v>0</v>
      </c>
      <c r="V31" s="27" t="n">
        <v>0</v>
      </c>
      <c r="W31" s="27" t="n">
        <v>0</v>
      </c>
      <c r="X31" s="27" t="n">
        <v>0</v>
      </c>
      <c r="Y31" s="29" t="n">
        <f aca="false">C31+G31+J31+M31+P31+S31+V31</f>
        <v>213761.38</v>
      </c>
      <c r="Z31" s="29" t="n">
        <f aca="false">D31+H31+K31+N31+Q31+T31+W31</f>
        <v>58344.35</v>
      </c>
      <c r="AA31" s="29" t="n">
        <f aca="false">E31+I31+L31+O31+R31+U31+X31</f>
        <v>155417.03</v>
      </c>
      <c r="AB31" s="29" t="n">
        <f aca="false">AB30-AA31</f>
        <v>1415576.12</v>
      </c>
    </row>
    <row r="32" customFormat="false" ht="15" hidden="false" customHeight="false" outlineLevel="0" collapsed="false">
      <c r="A32" s="8" t="s">
        <v>185</v>
      </c>
      <c r="B32" s="32" t="n">
        <v>2028</v>
      </c>
      <c r="C32" s="33" t="n">
        <v>0</v>
      </c>
      <c r="D32" s="33" t="n">
        <v>0</v>
      </c>
      <c r="E32" s="33" t="n">
        <v>0</v>
      </c>
      <c r="F32" s="33" t="n">
        <v>0</v>
      </c>
      <c r="G32" s="27" t="n">
        <v>73554.73</v>
      </c>
      <c r="H32" s="27" t="n">
        <v>19420.81</v>
      </c>
      <c r="I32" s="27" t="n">
        <v>54133.92</v>
      </c>
      <c r="J32" s="27" t="n">
        <v>77234.02</v>
      </c>
      <c r="K32" s="27" t="n">
        <v>22060.43</v>
      </c>
      <c r="L32" s="27" t="n">
        <v>55173.59</v>
      </c>
      <c r="M32" s="27" t="n">
        <v>41163.97</v>
      </c>
      <c r="N32" s="27" t="n">
        <v>8923.2</v>
      </c>
      <c r="O32" s="27" t="n">
        <v>32240.77</v>
      </c>
      <c r="P32" s="27" t="n">
        <v>21808.66</v>
      </c>
      <c r="Q32" s="27" t="n">
        <v>2148.47</v>
      </c>
      <c r="R32" s="27" t="n">
        <v>19660.19</v>
      </c>
      <c r="S32" s="27" t="n">
        <v>0</v>
      </c>
      <c r="T32" s="27" t="n">
        <v>0</v>
      </c>
      <c r="U32" s="27" t="n">
        <v>0</v>
      </c>
      <c r="V32" s="27" t="n">
        <v>0</v>
      </c>
      <c r="W32" s="27" t="n">
        <v>0</v>
      </c>
      <c r="X32" s="27" t="n">
        <v>0</v>
      </c>
      <c r="Y32" s="29" t="n">
        <f aca="false">C32+G32+J32+M32+P32+S32+V32</f>
        <v>213761.38</v>
      </c>
      <c r="Z32" s="29" t="n">
        <f aca="false">D32+H32+K32+N32+Q32+T32+W32</f>
        <v>52552.91</v>
      </c>
      <c r="AA32" s="29" t="n">
        <f aca="false">E32+I32+L32+O32+R32+U32+X32</f>
        <v>161208.47</v>
      </c>
      <c r="AB32" s="29" t="n">
        <f aca="false">AB31-AA32</f>
        <v>1254367.65</v>
      </c>
    </row>
    <row r="33" customFormat="false" ht="15" hidden="false" customHeight="false" outlineLevel="0" collapsed="false">
      <c r="A33" s="8" t="s">
        <v>186</v>
      </c>
      <c r="B33" s="32" t="n">
        <v>2029</v>
      </c>
      <c r="C33" s="33" t="n">
        <v>0</v>
      </c>
      <c r="D33" s="33" t="n">
        <v>0</v>
      </c>
      <c r="E33" s="33" t="n">
        <v>0</v>
      </c>
      <c r="F33" s="33" t="n">
        <v>0</v>
      </c>
      <c r="G33" s="27" t="n">
        <v>73554.73</v>
      </c>
      <c r="H33" s="27" t="n">
        <v>17545.07</v>
      </c>
      <c r="I33" s="27" t="n">
        <v>56009.66</v>
      </c>
      <c r="J33" s="27" t="n">
        <v>77234.02</v>
      </c>
      <c r="K33" s="27" t="n">
        <v>19959.42</v>
      </c>
      <c r="L33" s="27" t="n">
        <v>57274.6</v>
      </c>
      <c r="M33" s="27" t="n">
        <v>41163.97</v>
      </c>
      <c r="N33" s="27" t="n">
        <v>7583.19</v>
      </c>
      <c r="O33" s="27" t="n">
        <v>33580.78</v>
      </c>
      <c r="P33" s="27" t="n">
        <v>21808.66</v>
      </c>
      <c r="Q33" s="27" t="n">
        <v>1456.93</v>
      </c>
      <c r="R33" s="27" t="n">
        <v>20351.73</v>
      </c>
      <c r="S33" s="27" t="n">
        <v>0</v>
      </c>
      <c r="T33" s="27" t="n">
        <v>0</v>
      </c>
      <c r="U33" s="27" t="n">
        <v>0</v>
      </c>
      <c r="V33" s="27" t="n">
        <v>0</v>
      </c>
      <c r="W33" s="27" t="n">
        <v>0</v>
      </c>
      <c r="X33" s="27" t="n">
        <v>0</v>
      </c>
      <c r="Y33" s="29" t="n">
        <f aca="false">C33+G33+J33+M33+P33+S33+V33</f>
        <v>213761.38</v>
      </c>
      <c r="Z33" s="29" t="n">
        <f aca="false">D33+H33+K33+N33+Q33+T33+W33</f>
        <v>46544.61</v>
      </c>
      <c r="AA33" s="29" t="n">
        <f aca="false">E33+I33+L33+O33+R33+U33+X33</f>
        <v>167216.77</v>
      </c>
      <c r="AB33" s="29" t="n">
        <f aca="false">AB32-AA33</f>
        <v>1087150.88</v>
      </c>
    </row>
    <row r="34" customFormat="false" ht="15" hidden="false" customHeight="false" outlineLevel="0" collapsed="false">
      <c r="A34" s="8" t="s">
        <v>187</v>
      </c>
      <c r="B34" s="32" t="n">
        <v>2029</v>
      </c>
      <c r="C34" s="33" t="n">
        <v>0</v>
      </c>
      <c r="D34" s="33" t="n">
        <v>0</v>
      </c>
      <c r="E34" s="33" t="n">
        <v>0</v>
      </c>
      <c r="F34" s="33" t="n">
        <v>0</v>
      </c>
      <c r="G34" s="27" t="n">
        <v>73554.73</v>
      </c>
      <c r="H34" s="27" t="n">
        <v>15604.33</v>
      </c>
      <c r="I34" s="27" t="n">
        <v>57950.4</v>
      </c>
      <c r="J34" s="27" t="n">
        <v>77234.02</v>
      </c>
      <c r="K34" s="27" t="n">
        <v>17778.4</v>
      </c>
      <c r="L34" s="27" t="n">
        <v>59455.62</v>
      </c>
      <c r="M34" s="27" t="n">
        <v>41163.97</v>
      </c>
      <c r="N34" s="27" t="n">
        <v>6187.49</v>
      </c>
      <c r="O34" s="27" t="n">
        <v>34976.48</v>
      </c>
      <c r="P34" s="27" t="n">
        <v>21808.64</v>
      </c>
      <c r="Q34" s="27" t="n">
        <v>741.05</v>
      </c>
      <c r="R34" s="27" t="n">
        <v>21067.59</v>
      </c>
      <c r="S34" s="27" t="n">
        <v>0</v>
      </c>
      <c r="T34" s="27" t="n">
        <v>0</v>
      </c>
      <c r="U34" s="27" t="n">
        <v>0</v>
      </c>
      <c r="V34" s="27" t="n">
        <v>0</v>
      </c>
      <c r="W34" s="27" t="n">
        <v>0</v>
      </c>
      <c r="X34" s="27" t="n">
        <v>0</v>
      </c>
      <c r="Y34" s="29" t="n">
        <f aca="false">C34+G34+J34+M34+P34+S34+V34</f>
        <v>213761.36</v>
      </c>
      <c r="Z34" s="29" t="n">
        <f aca="false">D34+H34+K34+N34+Q34+T34+W34</f>
        <v>40311.27</v>
      </c>
      <c r="AA34" s="29" t="n">
        <f aca="false">E34+I34+L34+O34+R34+U34+X34</f>
        <v>173450.09</v>
      </c>
      <c r="AB34" s="29" t="n">
        <f aca="false">AB33-AA34</f>
        <v>913700.790000001</v>
      </c>
    </row>
    <row r="35" customFormat="false" ht="15" hidden="false" customHeight="false" outlineLevel="0" collapsed="false">
      <c r="A35" s="8" t="s">
        <v>188</v>
      </c>
      <c r="B35" s="32" t="n">
        <v>2029</v>
      </c>
      <c r="C35" s="33" t="n">
        <v>0</v>
      </c>
      <c r="D35" s="33" t="n">
        <v>0</v>
      </c>
      <c r="E35" s="33" t="n">
        <v>0</v>
      </c>
      <c r="F35" s="33" t="n">
        <v>0</v>
      </c>
      <c r="G35" s="27" t="n">
        <v>73554.73</v>
      </c>
      <c r="H35" s="27" t="n">
        <v>13596.36</v>
      </c>
      <c r="I35" s="27" t="n">
        <v>59958.37</v>
      </c>
      <c r="J35" s="27" t="n">
        <v>77234.02</v>
      </c>
      <c r="K35" s="27" t="n">
        <v>15514.33</v>
      </c>
      <c r="L35" s="27" t="n">
        <v>61719.69</v>
      </c>
      <c r="M35" s="27" t="n">
        <v>41163.97</v>
      </c>
      <c r="N35" s="27" t="n">
        <v>4733.78</v>
      </c>
      <c r="O35" s="27" t="n">
        <v>36430.19</v>
      </c>
      <c r="P35" s="27" t="n">
        <v>0</v>
      </c>
      <c r="Q35" s="27" t="n">
        <v>0</v>
      </c>
      <c r="R35" s="27" t="n">
        <v>0</v>
      </c>
      <c r="S35" s="27" t="n">
        <v>0</v>
      </c>
      <c r="T35" s="27" t="n">
        <v>0</v>
      </c>
      <c r="U35" s="27" t="n">
        <v>0</v>
      </c>
      <c r="V35" s="27" t="n">
        <v>0</v>
      </c>
      <c r="W35" s="27" t="n">
        <v>0</v>
      </c>
      <c r="X35" s="27" t="n">
        <v>0</v>
      </c>
      <c r="Y35" s="29" t="n">
        <f aca="false">C35+G35+J35+M35+P35+S35+V35</f>
        <v>191952.72</v>
      </c>
      <c r="Z35" s="29" t="n">
        <f aca="false">D35+H35+K35+N35+Q35+T35+W35</f>
        <v>33844.47</v>
      </c>
      <c r="AA35" s="29" t="n">
        <f aca="false">E35+I35+L35+O35+R35+U35+X35</f>
        <v>158108.25</v>
      </c>
      <c r="AB35" s="29" t="n">
        <f aca="false">AB34-AA35</f>
        <v>755592.540000001</v>
      </c>
    </row>
    <row r="36" customFormat="false" ht="15" hidden="false" customHeight="false" outlineLevel="0" collapsed="false">
      <c r="A36" s="8" t="s">
        <v>189</v>
      </c>
      <c r="B36" s="32" t="n">
        <v>2029</v>
      </c>
      <c r="C36" s="33" t="n">
        <v>0</v>
      </c>
      <c r="D36" s="33" t="n">
        <v>0</v>
      </c>
      <c r="E36" s="33" t="n">
        <v>0</v>
      </c>
      <c r="F36" s="33" t="n">
        <v>0</v>
      </c>
      <c r="G36" s="27" t="n">
        <v>73554.73</v>
      </c>
      <c r="H36" s="27" t="n">
        <v>11518.79</v>
      </c>
      <c r="I36" s="27" t="n">
        <v>62035.94</v>
      </c>
      <c r="J36" s="27" t="n">
        <v>77234.02</v>
      </c>
      <c r="K36" s="27" t="n">
        <v>13164.04</v>
      </c>
      <c r="L36" s="27" t="n">
        <v>64069.98</v>
      </c>
      <c r="M36" s="27" t="n">
        <v>41163.97</v>
      </c>
      <c r="N36" s="27" t="n">
        <v>3219.66</v>
      </c>
      <c r="O36" s="27" t="n">
        <v>37944.31</v>
      </c>
      <c r="P36" s="27" t="n">
        <v>0</v>
      </c>
      <c r="Q36" s="27" t="n">
        <v>0</v>
      </c>
      <c r="R36" s="27" t="n">
        <v>0</v>
      </c>
      <c r="S36" s="27" t="n">
        <v>0</v>
      </c>
      <c r="T36" s="27" t="n">
        <v>0</v>
      </c>
      <c r="U36" s="27" t="n">
        <v>0</v>
      </c>
      <c r="V36" s="27" t="n">
        <v>0</v>
      </c>
      <c r="W36" s="27" t="n">
        <v>0</v>
      </c>
      <c r="X36" s="27" t="n">
        <v>0</v>
      </c>
      <c r="Y36" s="29" t="n">
        <f aca="false">C36+G36+J36+M36+P36+S36+V36</f>
        <v>191952.72</v>
      </c>
      <c r="Z36" s="29" t="n">
        <f aca="false">D36+H36+K36+N36+Q36+T36+W36</f>
        <v>27902.49</v>
      </c>
      <c r="AA36" s="29" t="n">
        <f aca="false">E36+I36+L36+O36+R36+U36+X36</f>
        <v>164050.23</v>
      </c>
      <c r="AB36" s="29" t="n">
        <f aca="false">AB35-AA36</f>
        <v>591542.310000001</v>
      </c>
    </row>
    <row r="37" customFormat="false" ht="15" hidden="false" customHeight="false" outlineLevel="0" collapsed="false">
      <c r="A37" s="8" t="s">
        <v>190</v>
      </c>
      <c r="B37" s="32" t="n">
        <v>2029</v>
      </c>
      <c r="C37" s="33" t="n">
        <v>0</v>
      </c>
      <c r="D37" s="33" t="n">
        <v>0</v>
      </c>
      <c r="E37" s="33" t="n">
        <v>0</v>
      </c>
      <c r="F37" s="33" t="n">
        <v>0</v>
      </c>
      <c r="G37" s="27" t="n">
        <v>73554.73</v>
      </c>
      <c r="H37" s="27" t="n">
        <v>9369.24</v>
      </c>
      <c r="I37" s="27" t="n">
        <v>64185.49</v>
      </c>
      <c r="J37" s="27" t="n">
        <v>77234.02</v>
      </c>
      <c r="K37" s="27" t="n">
        <v>10724.26</v>
      </c>
      <c r="L37" s="27" t="n">
        <v>66509.76</v>
      </c>
      <c r="M37" s="27" t="n">
        <v>41163.59</v>
      </c>
      <c r="N37" s="27" t="n">
        <v>1642.59</v>
      </c>
      <c r="O37" s="27" t="n">
        <v>39521</v>
      </c>
      <c r="P37" s="27" t="n">
        <v>0</v>
      </c>
      <c r="Q37" s="27" t="n">
        <v>0</v>
      </c>
      <c r="R37" s="27" t="n">
        <v>0</v>
      </c>
      <c r="S37" s="27" t="n">
        <v>0</v>
      </c>
      <c r="T37" s="27" t="n">
        <v>0</v>
      </c>
      <c r="U37" s="27" t="n">
        <v>0</v>
      </c>
      <c r="V37" s="27" t="n">
        <v>0</v>
      </c>
      <c r="W37" s="27" t="n">
        <v>0</v>
      </c>
      <c r="X37" s="27" t="n">
        <v>0</v>
      </c>
      <c r="Y37" s="29" t="n">
        <f aca="false">C37+G37+J37+M37+P37+S37+V37</f>
        <v>191952.34</v>
      </c>
      <c r="Z37" s="29" t="n">
        <f aca="false">D37+H37+K37+N37+Q37+T37+W37</f>
        <v>21736.09</v>
      </c>
      <c r="AA37" s="29" t="n">
        <f aca="false">E37+I37+L37+O37+R37+U37+X37</f>
        <v>170216.25</v>
      </c>
      <c r="AB37" s="29" t="n">
        <f aca="false">AB36-AA37</f>
        <v>421326.060000001</v>
      </c>
    </row>
    <row r="38" customFormat="false" ht="15" hidden="false" customHeight="false" outlineLevel="0" collapsed="false">
      <c r="A38" s="8" t="s">
        <v>191</v>
      </c>
      <c r="B38" s="32" t="n">
        <v>2029</v>
      </c>
      <c r="C38" s="33" t="n">
        <v>0</v>
      </c>
      <c r="D38" s="33" t="n">
        <v>0</v>
      </c>
      <c r="E38" s="33" t="n">
        <v>0</v>
      </c>
      <c r="F38" s="33" t="n">
        <v>0</v>
      </c>
      <c r="G38" s="27" t="n">
        <v>73554.73</v>
      </c>
      <c r="H38" s="27" t="n">
        <v>7145.22</v>
      </c>
      <c r="I38" s="27" t="n">
        <v>66409.51</v>
      </c>
      <c r="J38" s="27" t="n">
        <v>77234.02</v>
      </c>
      <c r="K38" s="27" t="n">
        <v>8191.56</v>
      </c>
      <c r="L38" s="27" t="n">
        <v>69042.46</v>
      </c>
      <c r="M38" s="27" t="n">
        <v>0</v>
      </c>
      <c r="N38" s="27" t="n">
        <v>0</v>
      </c>
      <c r="O38" s="27" t="n">
        <v>0</v>
      </c>
      <c r="P38" s="27" t="n">
        <v>0</v>
      </c>
      <c r="Q38" s="27" t="n">
        <v>0</v>
      </c>
      <c r="R38" s="27" t="n">
        <v>0</v>
      </c>
      <c r="S38" s="27" t="n">
        <v>0</v>
      </c>
      <c r="T38" s="27" t="n">
        <v>0</v>
      </c>
      <c r="U38" s="27" t="n">
        <v>0</v>
      </c>
      <c r="V38" s="27" t="n">
        <v>0</v>
      </c>
      <c r="W38" s="27" t="n">
        <v>0</v>
      </c>
      <c r="X38" s="27" t="n">
        <v>0</v>
      </c>
      <c r="Y38" s="29" t="n">
        <f aca="false">C38+G38+J38+M38+P38+S38+V38</f>
        <v>150788.75</v>
      </c>
      <c r="Z38" s="29" t="n">
        <f aca="false">D38+H38+K38+N38+Q38+T38+W38</f>
        <v>15336.78</v>
      </c>
      <c r="AA38" s="29" t="n">
        <f aca="false">E38+I38+L38+O38+R38+U38+X38</f>
        <v>135451.97</v>
      </c>
      <c r="AB38" s="29" t="n">
        <f aca="false">AB37-AA38</f>
        <v>285874.090000001</v>
      </c>
    </row>
    <row r="39" customFormat="false" ht="15" hidden="false" customHeight="false" outlineLevel="0" collapsed="false">
      <c r="A39" s="8" t="s">
        <v>192</v>
      </c>
      <c r="B39" s="32" t="n">
        <v>2029</v>
      </c>
      <c r="C39" s="33" t="n">
        <v>0</v>
      </c>
      <c r="D39" s="33" t="n">
        <v>0</v>
      </c>
      <c r="E39" s="33" t="n">
        <v>0</v>
      </c>
      <c r="F39" s="33" t="n">
        <v>0</v>
      </c>
      <c r="G39" s="27" t="n">
        <v>73554.73</v>
      </c>
      <c r="H39" s="27" t="n">
        <v>4844.13</v>
      </c>
      <c r="I39" s="27" t="n">
        <v>68710.6</v>
      </c>
      <c r="J39" s="27" t="n">
        <v>77234.02</v>
      </c>
      <c r="K39" s="27" t="n">
        <v>5562.43</v>
      </c>
      <c r="L39" s="27" t="n">
        <v>71671.59</v>
      </c>
      <c r="M39" s="27" t="n">
        <v>0</v>
      </c>
      <c r="N39" s="27" t="n">
        <v>0</v>
      </c>
      <c r="O39" s="27" t="n">
        <v>0</v>
      </c>
      <c r="P39" s="27" t="n">
        <v>0</v>
      </c>
      <c r="Q39" s="27" t="n">
        <v>0</v>
      </c>
      <c r="R39" s="27" t="n">
        <v>0</v>
      </c>
      <c r="S39" s="27" t="n">
        <v>0</v>
      </c>
      <c r="T39" s="27" t="n">
        <v>0</v>
      </c>
      <c r="U39" s="27" t="n">
        <v>0</v>
      </c>
      <c r="V39" s="27" t="n">
        <v>0</v>
      </c>
      <c r="W39" s="27" t="n">
        <v>0</v>
      </c>
      <c r="X39" s="27" t="n">
        <v>0</v>
      </c>
      <c r="Y39" s="29" t="n">
        <f aca="false">C39+G39+J39+M39+P39+S39+V39</f>
        <v>150788.75</v>
      </c>
      <c r="Z39" s="29" t="n">
        <f aca="false">D39+H39+K39+N39+Q39+T39+W39</f>
        <v>10406.56</v>
      </c>
      <c r="AA39" s="29" t="n">
        <f aca="false">E39+I39+L39+O39+R39+U39+X39</f>
        <v>140382.19</v>
      </c>
      <c r="AB39" s="29" t="n">
        <f aca="false">AB38-AA39</f>
        <v>145491.900000001</v>
      </c>
    </row>
    <row r="40" customFormat="false" ht="15" hidden="false" customHeight="false" outlineLevel="0" collapsed="false">
      <c r="A40" s="8" t="s">
        <v>193</v>
      </c>
      <c r="B40" s="32" t="n">
        <v>2029</v>
      </c>
      <c r="C40" s="33" t="n">
        <v>0</v>
      </c>
      <c r="D40" s="33" t="n">
        <v>0</v>
      </c>
      <c r="E40" s="33" t="n">
        <v>0</v>
      </c>
      <c r="F40" s="33" t="n">
        <v>0</v>
      </c>
      <c r="G40" s="27" t="n">
        <v>73554.51</v>
      </c>
      <c r="H40" s="27" t="n">
        <v>2463.31</v>
      </c>
      <c r="I40" s="27" t="n">
        <v>71091.2</v>
      </c>
      <c r="J40" s="27" t="n">
        <v>77233.87</v>
      </c>
      <c r="K40" s="27" t="n">
        <v>2833.17</v>
      </c>
      <c r="L40" s="27" t="n">
        <v>74400.7</v>
      </c>
      <c r="M40" s="27" t="n">
        <v>0</v>
      </c>
      <c r="N40" s="27" t="n">
        <v>0</v>
      </c>
      <c r="O40" s="27" t="n">
        <v>0</v>
      </c>
      <c r="P40" s="27" t="n">
        <v>0</v>
      </c>
      <c r="Q40" s="27" t="n">
        <v>0</v>
      </c>
      <c r="R40" s="27" t="n">
        <v>0</v>
      </c>
      <c r="S40" s="27" t="n">
        <v>0</v>
      </c>
      <c r="T40" s="27" t="n">
        <v>0</v>
      </c>
      <c r="U40" s="27" t="n">
        <v>0</v>
      </c>
      <c r="V40" s="27" t="n">
        <v>0</v>
      </c>
      <c r="W40" s="27" t="n">
        <v>0</v>
      </c>
      <c r="X40" s="27" t="n">
        <v>0</v>
      </c>
      <c r="Y40" s="29" t="n">
        <f aca="false">C40+G40+J40+M40+P40+S40+V40</f>
        <v>150788.38</v>
      </c>
      <c r="Z40" s="29" t="n">
        <f aca="false">D40+H40+K40+N40+Q40+T40+W40</f>
        <v>5296.48</v>
      </c>
      <c r="AA40" s="29" t="n">
        <f aca="false">E40+I40+L40+O40+R40+U40+X40</f>
        <v>145491.9</v>
      </c>
      <c r="AB40" s="29" t="n">
        <f aca="false">AB39-AA40</f>
        <v>6.69388100504875E-010</v>
      </c>
    </row>
    <row r="41" customFormat="false" ht="15" hidden="false" customHeight="false" outlineLevel="0" collapsed="false">
      <c r="A41" s="8" t="s">
        <v>194</v>
      </c>
      <c r="C41" s="29" t="n">
        <f aca="false">SUM(C4:C40)</f>
        <v>1600594.74493779</v>
      </c>
      <c r="D41" s="29" t="n">
        <f aca="false">SUM(D4:D40)</f>
        <v>494057.124937792</v>
      </c>
      <c r="E41" s="29" t="n">
        <f aca="false">SUM(E4:E40)</f>
        <v>1106537.62</v>
      </c>
      <c r="F41" s="35"/>
      <c r="G41" s="29" t="n">
        <f aca="false">SUM(G4:G40)</f>
        <v>2647970.06</v>
      </c>
      <c r="H41" s="29" t="n">
        <f aca="false">SUM(H4:H40)</f>
        <v>1147970.06</v>
      </c>
      <c r="I41" s="29" t="n">
        <f aca="false">SUM(I4:I40)</f>
        <v>1500000</v>
      </c>
      <c r="J41" s="29" t="n">
        <f aca="false">SUM(J4:J40)</f>
        <v>2780424.57</v>
      </c>
      <c r="K41" s="29" t="n">
        <f aca="false">SUM(K4:K40)</f>
        <v>1280424.57</v>
      </c>
      <c r="L41" s="29" t="n">
        <f aca="false">SUM(L4:L40)</f>
        <v>1500000</v>
      </c>
      <c r="M41" s="29" t="n">
        <f aca="false">SUM(M4:M40)</f>
        <v>1399574.6</v>
      </c>
      <c r="N41" s="29" t="n">
        <f aca="false">SUM(N4:N40)</f>
        <v>657199.09</v>
      </c>
      <c r="O41" s="29" t="n">
        <f aca="false">SUM(O4:O40)</f>
        <v>742375.51</v>
      </c>
      <c r="P41" s="29" t="n">
        <f aca="false">SUM(P4:P40)</f>
        <v>654259.78</v>
      </c>
      <c r="Q41" s="29" t="n">
        <f aca="false">SUM(Q4:Q40)</f>
        <v>254031.92</v>
      </c>
      <c r="R41" s="29" t="n">
        <f aca="false">SUM(R4:R40)</f>
        <v>400227.86</v>
      </c>
      <c r="S41" s="29" t="n">
        <f aca="false">SUM(S4:S40)</f>
        <v>555281.46</v>
      </c>
      <c r="T41" s="29" t="n">
        <f aca="false">SUM(T4:T40)</f>
        <v>189635.05</v>
      </c>
      <c r="U41" s="29" t="n">
        <f aca="false">SUM(U4:U40)</f>
        <v>365646.41</v>
      </c>
      <c r="V41" s="29" t="n">
        <f aca="false">SUM(V4:V40)</f>
        <v>42232.53</v>
      </c>
      <c r="W41" s="29" t="n">
        <f aca="false">SUM(W4:W40)</f>
        <v>3673.36</v>
      </c>
      <c r="X41" s="29" t="n">
        <f aca="false">SUM(X4:X40)</f>
        <v>38559.17</v>
      </c>
      <c r="Y41" s="29" t="n">
        <f aca="false">SUM(Y4:Y40)</f>
        <v>9680337.74493779</v>
      </c>
      <c r="Z41" s="29" t="n">
        <f aca="false">SUM(Z4:Z40)</f>
        <v>4026991.17493779</v>
      </c>
      <c r="AA41" s="29" t="n">
        <f aca="false">SUM(AA4:AA40)</f>
        <v>5653346.57</v>
      </c>
      <c r="AB41" s="36" t="s">
        <v>195</v>
      </c>
    </row>
    <row r="43" customFormat="false" ht="15" hidden="false" customHeight="false" outlineLevel="0" collapsed="false">
      <c r="A43" s="2" t="s">
        <v>196</v>
      </c>
    </row>
  </sheetData>
  <mergeCells count="7">
    <mergeCell ref="C2:F2"/>
    <mergeCell ref="G2:I2"/>
    <mergeCell ref="J2:L2"/>
    <mergeCell ref="M2:O2"/>
    <mergeCell ref="P2:R2"/>
    <mergeCell ref="S2:U2"/>
    <mergeCell ref="V2:X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3" min="12" style="0" width="12"/>
    <col collapsed="false" customWidth="true" hidden="false" outlineLevel="0" max="16" min="14" style="0" width="15"/>
    <col collapsed="false" customWidth="true" hidden="false" outlineLevel="0" max="17" min="17" style="0" width="8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31.5" hidden="false" customHeight="true" outlineLevel="0" collapsed="false">
      <c r="A4" s="37" t="s">
        <v>199</v>
      </c>
      <c r="B4" s="37" t="s">
        <v>200</v>
      </c>
      <c r="C4" s="37" t="s">
        <v>201</v>
      </c>
      <c r="D4" s="37" t="s">
        <v>202</v>
      </c>
      <c r="E4" s="37" t="s">
        <v>203</v>
      </c>
      <c r="F4" s="37" t="s">
        <v>204</v>
      </c>
      <c r="G4" s="37" t="s">
        <v>205</v>
      </c>
      <c r="H4" s="37" t="s">
        <v>206</v>
      </c>
      <c r="I4" s="37" t="s">
        <v>207</v>
      </c>
      <c r="J4" s="37" t="s">
        <v>208</v>
      </c>
      <c r="K4" s="37" t="s">
        <v>209</v>
      </c>
      <c r="L4" s="37" t="s">
        <v>210</v>
      </c>
      <c r="M4" s="37" t="s">
        <v>211</v>
      </c>
      <c r="N4" s="37" t="s">
        <v>212</v>
      </c>
      <c r="O4" s="37" t="s">
        <v>213</v>
      </c>
      <c r="P4" s="37" t="s">
        <v>214</v>
      </c>
      <c r="Q4" s="37" t="s">
        <v>215</v>
      </c>
    </row>
    <row r="5" customFormat="false" ht="15" hidden="false" customHeight="false" outlineLevel="0" collapsed="false">
      <c r="A5" s="38" t="n">
        <v>1</v>
      </c>
      <c r="B5" s="38" t="s">
        <v>216</v>
      </c>
      <c r="C5" s="38" t="s">
        <v>217</v>
      </c>
      <c r="D5" s="38" t="s">
        <v>218</v>
      </c>
      <c r="E5" s="19" t="n">
        <v>1500000</v>
      </c>
      <c r="F5" s="38" t="s">
        <v>219</v>
      </c>
      <c r="G5" s="28" t="n">
        <v>36</v>
      </c>
      <c r="H5" s="26" t="n">
        <v>0.0345833</v>
      </c>
      <c r="I5" s="38" t="s">
        <v>220</v>
      </c>
      <c r="J5" s="34" t="n">
        <f aca="false">MAX('Kredi Takvimi'!C4:C40)</f>
        <v>76218.7973779901</v>
      </c>
      <c r="K5" s="14" t="n">
        <f aca="false">COUNTIF('Kredi Takvimi'!C4:C40,"&gt;0")</f>
        <v>21</v>
      </c>
      <c r="L5" s="38" t="s">
        <v>221</v>
      </c>
      <c r="M5" s="38" t="s">
        <v>222</v>
      </c>
      <c r="N5" s="34" t="n">
        <f aca="false">SUM('Kredi Takvimi'!E4:E40)</f>
        <v>1106537.62</v>
      </c>
      <c r="O5" s="34" t="n">
        <f aca="false">SUM('Kredi Takvimi'!C4:C40)</f>
        <v>1600594.74493779</v>
      </c>
      <c r="P5" s="34" t="n">
        <f aca="false">SUM('Kredi Takvimi'!D4:D40)</f>
        <v>494057.124937792</v>
      </c>
      <c r="Q5" s="28" t="n">
        <v>21</v>
      </c>
    </row>
    <row r="6" customFormat="false" ht="15" hidden="false" customHeight="false" outlineLevel="0" collapsed="false">
      <c r="A6" s="38" t="n">
        <v>2</v>
      </c>
      <c r="B6" s="38" t="s">
        <v>216</v>
      </c>
      <c r="C6" s="38" t="s">
        <v>223</v>
      </c>
      <c r="D6" s="38" t="s">
        <v>224</v>
      </c>
      <c r="E6" s="19" t="n">
        <v>1500000</v>
      </c>
      <c r="F6" s="38" t="s">
        <v>225</v>
      </c>
      <c r="G6" s="28" t="n">
        <v>36</v>
      </c>
      <c r="H6" s="26" t="n">
        <v>0.033</v>
      </c>
      <c r="I6" s="38" t="s">
        <v>226</v>
      </c>
      <c r="J6" s="34" t="n">
        <f aca="false">MAX('Kredi Takvimi'!G4:G40)</f>
        <v>73554.73</v>
      </c>
      <c r="K6" s="14" t="n">
        <f aca="false">COUNTIF('Kredi Takvimi'!G4:G40,"&gt;0")</f>
        <v>36</v>
      </c>
      <c r="L6" s="38" t="s">
        <v>227</v>
      </c>
      <c r="M6" s="38" t="s">
        <v>228</v>
      </c>
      <c r="N6" s="34" t="n">
        <f aca="false">SUM('Kredi Takvimi'!I4:I40)</f>
        <v>1500000</v>
      </c>
      <c r="O6" s="34" t="n">
        <f aca="false">SUM('Kredi Takvimi'!G4:G40)</f>
        <v>2647970.06</v>
      </c>
      <c r="P6" s="34" t="n">
        <f aca="false">SUM('Kredi Takvimi'!H4:H40)</f>
        <v>1147970.06</v>
      </c>
      <c r="Q6" s="28" t="n">
        <v>5</v>
      </c>
    </row>
    <row r="7" customFormat="false" ht="15" hidden="false" customHeight="false" outlineLevel="0" collapsed="false">
      <c r="A7" s="38" t="n">
        <v>3</v>
      </c>
      <c r="B7" s="38" t="s">
        <v>229</v>
      </c>
      <c r="C7" s="38" t="s">
        <v>230</v>
      </c>
      <c r="D7" s="38" t="s">
        <v>231</v>
      </c>
      <c r="E7" s="19" t="n">
        <v>1500000</v>
      </c>
      <c r="F7" s="38" t="s">
        <v>232</v>
      </c>
      <c r="G7" s="28" t="n">
        <v>36</v>
      </c>
      <c r="H7" s="26" t="n">
        <v>0.0363</v>
      </c>
      <c r="I7" s="38" t="s">
        <v>226</v>
      </c>
      <c r="J7" s="34" t="n">
        <f aca="false">MAX('Kredi Takvimi'!J4:J40)</f>
        <v>77234.02</v>
      </c>
      <c r="K7" s="14" t="n">
        <f aca="false">COUNTIF('Kredi Takvimi'!J4:J40,"&gt;0")</f>
        <v>36</v>
      </c>
      <c r="L7" s="38" t="s">
        <v>233</v>
      </c>
      <c r="M7" s="38" t="s">
        <v>234</v>
      </c>
      <c r="N7" s="34" t="n">
        <f aca="false">SUM('Kredi Takvimi'!L4:L40)</f>
        <v>1500000</v>
      </c>
      <c r="O7" s="34" t="n">
        <f aca="false">SUM('Kredi Takvimi'!J4:J40)</f>
        <v>2780424.57</v>
      </c>
      <c r="P7" s="34" t="n">
        <f aca="false">SUM('Kredi Takvimi'!K4:K40)</f>
        <v>1280424.57</v>
      </c>
      <c r="Q7" s="28" t="n">
        <v>11</v>
      </c>
    </row>
    <row r="8" customFormat="false" ht="15" hidden="false" customHeight="false" outlineLevel="0" collapsed="false">
      <c r="A8" s="38" t="n">
        <v>4</v>
      </c>
      <c r="B8" s="38" t="s">
        <v>216</v>
      </c>
      <c r="C8" s="38" t="s">
        <v>235</v>
      </c>
      <c r="D8" s="38" t="s">
        <v>236</v>
      </c>
      <c r="E8" s="19" t="n">
        <v>500000</v>
      </c>
      <c r="F8" s="38" t="s">
        <v>237</v>
      </c>
      <c r="G8" s="28" t="n">
        <v>49</v>
      </c>
      <c r="H8" s="26" t="n">
        <v>0.0395833</v>
      </c>
      <c r="I8" s="38" t="s">
        <v>226</v>
      </c>
      <c r="J8" s="34" t="n">
        <f aca="false">MAX('Kredi Takvimi'!M4:M40)</f>
        <v>41163.97</v>
      </c>
      <c r="K8" s="14" t="n">
        <f aca="false">COUNTIF('Kredi Takvimi'!M4:M40,"&gt;0")</f>
        <v>34</v>
      </c>
      <c r="L8" s="38" t="s">
        <v>238</v>
      </c>
      <c r="M8" s="38" t="s">
        <v>239</v>
      </c>
      <c r="N8" s="34" t="n">
        <f aca="false">SUM('Kredi Takvimi'!O4:O40)</f>
        <v>742375.51</v>
      </c>
      <c r="O8" s="34" t="n">
        <f aca="false">SUM('Kredi Takvimi'!M4:M40)</f>
        <v>1399574.6</v>
      </c>
      <c r="P8" s="34" t="n">
        <f aca="false">SUM('Kredi Takvimi'!N4:N40)</f>
        <v>657199.09</v>
      </c>
      <c r="Q8" s="28" t="n">
        <v>29</v>
      </c>
    </row>
    <row r="9" customFormat="false" ht="15" hidden="false" customHeight="false" outlineLevel="0" collapsed="false">
      <c r="A9" s="38" t="n">
        <v>5</v>
      </c>
      <c r="B9" s="38" t="s">
        <v>216</v>
      </c>
      <c r="C9" s="38" t="s">
        <v>240</v>
      </c>
      <c r="D9" s="38" t="s">
        <v>241</v>
      </c>
      <c r="E9" s="19" t="n">
        <v>400000</v>
      </c>
      <c r="F9" s="38" t="s">
        <v>242</v>
      </c>
      <c r="G9" s="28" t="n">
        <v>36</v>
      </c>
      <c r="H9" s="26" t="n">
        <v>0.0335</v>
      </c>
      <c r="I9" s="38" t="s">
        <v>226</v>
      </c>
      <c r="J9" s="34" t="n">
        <f aca="false">MAX('Kredi Takvimi'!P4:P40)</f>
        <v>21808.66</v>
      </c>
      <c r="K9" s="14" t="n">
        <f aca="false">COUNTIF('Kredi Takvimi'!P4:P40,"&gt;0")</f>
        <v>30</v>
      </c>
      <c r="L9" s="38" t="s">
        <v>227</v>
      </c>
      <c r="M9" s="38" t="s">
        <v>243</v>
      </c>
      <c r="N9" s="34" t="n">
        <f aca="false">SUM('Kredi Takvimi'!R4:R40)</f>
        <v>400227.86</v>
      </c>
      <c r="O9" s="34" t="n">
        <f aca="false">SUM('Kredi Takvimi'!P4:P40)</f>
        <v>654259.78</v>
      </c>
      <c r="P9" s="34" t="n">
        <f aca="false">SUM('Kredi Takvimi'!Q4:Q40)</f>
        <v>254031.92</v>
      </c>
      <c r="Q9" s="28" t="n">
        <v>5</v>
      </c>
    </row>
    <row r="10" customFormat="false" ht="15" hidden="false" customHeight="false" outlineLevel="0" collapsed="false">
      <c r="A10" s="38" t="n">
        <v>6</v>
      </c>
      <c r="B10" s="38" t="s">
        <v>216</v>
      </c>
      <c r="C10" s="38" t="s">
        <v>244</v>
      </c>
      <c r="D10" s="38" t="s">
        <v>245</v>
      </c>
      <c r="E10" s="19" t="n">
        <v>385000</v>
      </c>
      <c r="F10" s="38" t="s">
        <v>246</v>
      </c>
      <c r="G10" s="28" t="n">
        <v>24</v>
      </c>
      <c r="H10" s="26" t="n">
        <v>0.0379</v>
      </c>
      <c r="I10" s="38" t="s">
        <v>226</v>
      </c>
      <c r="J10" s="34" t="n">
        <f aca="false">MAX('Kredi Takvimi'!S4:S40)</f>
        <v>25240.08</v>
      </c>
      <c r="K10" s="14" t="n">
        <f aca="false">COUNTIF('Kredi Takvimi'!S4:S40,"&gt;0")</f>
        <v>22</v>
      </c>
      <c r="L10" s="38" t="s">
        <v>247</v>
      </c>
      <c r="M10" s="38" t="s">
        <v>248</v>
      </c>
      <c r="N10" s="34" t="n">
        <f aca="false">SUM('Kredi Takvimi'!U4:U40)</f>
        <v>365646.41</v>
      </c>
      <c r="O10" s="34" t="n">
        <f aca="false">SUM('Kredi Takvimi'!S4:S40)</f>
        <v>555281.46</v>
      </c>
      <c r="P10" s="34" t="n">
        <f aca="false">SUM('Kredi Takvimi'!T4:T40)</f>
        <v>189635.05</v>
      </c>
      <c r="Q10" s="28" t="n">
        <v>23</v>
      </c>
    </row>
    <row r="11" customFormat="false" ht="15" hidden="false" customHeight="false" outlineLevel="0" collapsed="false">
      <c r="A11" s="38" t="n">
        <v>7</v>
      </c>
      <c r="B11" s="38" t="s">
        <v>216</v>
      </c>
      <c r="C11" s="38" t="s">
        <v>249</v>
      </c>
      <c r="D11" s="38" t="s">
        <v>250</v>
      </c>
      <c r="E11" s="19" t="n">
        <v>100000</v>
      </c>
      <c r="F11" s="38" t="s">
        <v>251</v>
      </c>
      <c r="G11" s="28" t="n">
        <v>12</v>
      </c>
      <c r="H11" s="26" t="n">
        <v>0.0365</v>
      </c>
      <c r="I11" s="38" t="s">
        <v>226</v>
      </c>
      <c r="J11" s="34" t="n">
        <f aca="false">MAX('Kredi Takvimi'!V4:V40)</f>
        <v>10558.15</v>
      </c>
      <c r="K11" s="14" t="n">
        <f aca="false">COUNTIF('Kredi Takvimi'!V4:V40,"&gt;0")</f>
        <v>4</v>
      </c>
      <c r="L11" s="38" t="s">
        <v>252</v>
      </c>
      <c r="M11" s="38" t="s">
        <v>253</v>
      </c>
      <c r="N11" s="34" t="n">
        <f aca="false">SUM('Kredi Takvimi'!X4:X40)</f>
        <v>38559.17</v>
      </c>
      <c r="O11" s="34" t="n">
        <f aca="false">SUM('Kredi Takvimi'!V4:V40)</f>
        <v>42232.53</v>
      </c>
      <c r="P11" s="34" t="n">
        <f aca="false">SUM('Kredi Takvimi'!W4:W40)</f>
        <v>3673.36</v>
      </c>
      <c r="Q11" s="28" t="n">
        <v>22</v>
      </c>
    </row>
    <row r="12" customFormat="false" ht="15" hidden="false" customHeight="false" outlineLevel="0" collapsed="false">
      <c r="B12" s="8" t="s">
        <v>194</v>
      </c>
      <c r="E12" s="21" t="n">
        <f aca="false">SUM(E5:E11)</f>
        <v>5885000</v>
      </c>
      <c r="N12" s="29" t="n">
        <f aca="false">SUM(N5:N11)</f>
        <v>5653346.57</v>
      </c>
      <c r="O12" s="29" t="n">
        <f aca="false">SUM(O5:O11)</f>
        <v>9680337.74493779</v>
      </c>
      <c r="P12" s="29" t="n">
        <f aca="false">SUM(P5:P11)</f>
        <v>4026991.17493779</v>
      </c>
    </row>
    <row r="14" customFormat="false" ht="15" hidden="false" customHeight="false" outlineLevel="0" collapsed="false">
      <c r="A14" s="8" t="s">
        <v>254</v>
      </c>
    </row>
    <row r="15" customFormat="false" ht="15" hidden="false" customHeight="false" outlineLevel="0" collapsed="false">
      <c r="A15" s="2" t="s">
        <v>255</v>
      </c>
    </row>
    <row r="16" customFormat="false" ht="15" hidden="false" customHeight="false" outlineLevel="0" collapsed="false">
      <c r="A16" s="2" t="s">
        <v>256</v>
      </c>
    </row>
    <row r="17" customFormat="false" ht="15" hidden="false" customHeight="false" outlineLevel="0" collapsed="false">
      <c r="A17" s="2" t="s">
        <v>257</v>
      </c>
    </row>
    <row r="18" customFormat="false" ht="15" hidden="false" customHeight="false" outlineLevel="0" collapsed="false">
      <c r="A18" s="2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7" min="2" style="0" width="13"/>
    <col collapsed="false" customWidth="true" hidden="false" outlineLevel="0" max="38" min="38" style="0" width="16"/>
  </cols>
  <sheetData>
    <row r="1" customFormat="false" ht="17.3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2" t="s">
        <v>260</v>
      </c>
    </row>
    <row r="4" customFormat="false" ht="30" hidden="false" customHeight="true" outlineLevel="0" collapsed="false">
      <c r="A4" s="39" t="s">
        <v>261</v>
      </c>
      <c r="B4" s="40" t="s">
        <v>158</v>
      </c>
      <c r="C4" s="40" t="s">
        <v>159</v>
      </c>
      <c r="D4" s="40" t="s">
        <v>160</v>
      </c>
      <c r="E4" s="40" t="s">
        <v>161</v>
      </c>
      <c r="F4" s="40" t="s">
        <v>162</v>
      </c>
      <c r="G4" s="40" t="s">
        <v>163</v>
      </c>
      <c r="H4" s="40" t="s">
        <v>164</v>
      </c>
      <c r="I4" s="40" t="s">
        <v>165</v>
      </c>
      <c r="J4" s="40" t="s">
        <v>166</v>
      </c>
      <c r="K4" s="40" t="s">
        <v>167</v>
      </c>
      <c r="L4" s="40" t="s">
        <v>168</v>
      </c>
      <c r="M4" s="40" t="s">
        <v>169</v>
      </c>
      <c r="N4" s="40" t="s">
        <v>170</v>
      </c>
      <c r="O4" s="40" t="s">
        <v>171</v>
      </c>
      <c r="P4" s="40" t="s">
        <v>172</v>
      </c>
      <c r="Q4" s="40" t="s">
        <v>173</v>
      </c>
      <c r="R4" s="40" t="s">
        <v>174</v>
      </c>
      <c r="S4" s="40" t="s">
        <v>175</v>
      </c>
      <c r="T4" s="40" t="s">
        <v>176</v>
      </c>
      <c r="U4" s="40" t="s">
        <v>177</v>
      </c>
      <c r="V4" s="40" t="s">
        <v>178</v>
      </c>
      <c r="W4" s="40" t="s">
        <v>179</v>
      </c>
      <c r="X4" s="40" t="s">
        <v>180</v>
      </c>
      <c r="Y4" s="40" t="s">
        <v>181</v>
      </c>
      <c r="Z4" s="40" t="s">
        <v>182</v>
      </c>
      <c r="AA4" s="40" t="s">
        <v>183</v>
      </c>
      <c r="AB4" s="40" t="s">
        <v>184</v>
      </c>
      <c r="AC4" s="40" t="s">
        <v>185</v>
      </c>
      <c r="AD4" s="40" t="s">
        <v>186</v>
      </c>
      <c r="AE4" s="40" t="s">
        <v>187</v>
      </c>
      <c r="AF4" s="40" t="s">
        <v>188</v>
      </c>
      <c r="AG4" s="40" t="s">
        <v>189</v>
      </c>
      <c r="AH4" s="40" t="s">
        <v>190</v>
      </c>
      <c r="AI4" s="40" t="s">
        <v>191</v>
      </c>
      <c r="AJ4" s="40" t="s">
        <v>192</v>
      </c>
      <c r="AK4" s="40" t="s">
        <v>193</v>
      </c>
      <c r="AL4" s="41" t="s">
        <v>262</v>
      </c>
    </row>
    <row r="5" customFormat="false" ht="15" hidden="false" customHeight="false" outlineLevel="0" collapsed="false">
      <c r="A5" s="2" t="s">
        <v>263</v>
      </c>
      <c r="B5" s="2" t="n">
        <f aca="false">INT((COLUMN()-2)/12)</f>
        <v>0</v>
      </c>
      <c r="C5" s="2" t="n">
        <f aca="false">INT((COLUMN()-2)/12)</f>
        <v>0</v>
      </c>
      <c r="D5" s="2" t="n">
        <f aca="false">INT((COLUMN()-2)/12)</f>
        <v>0</v>
      </c>
      <c r="E5" s="2" t="n">
        <f aca="false">INT((COLUMN()-2)/12)</f>
        <v>0</v>
      </c>
      <c r="F5" s="2" t="n">
        <f aca="false">INT((COLUMN()-2)/12)</f>
        <v>0</v>
      </c>
      <c r="G5" s="2" t="n">
        <f aca="false">INT((COLUMN()-2)/12)</f>
        <v>0</v>
      </c>
      <c r="H5" s="2" t="n">
        <f aca="false">INT((COLUMN()-2)/12)</f>
        <v>0</v>
      </c>
      <c r="I5" s="2" t="n">
        <f aca="false">INT((COLUMN()-2)/12)</f>
        <v>0</v>
      </c>
      <c r="J5" s="2" t="n">
        <f aca="false">INT((COLUMN()-2)/12)</f>
        <v>0</v>
      </c>
      <c r="K5" s="2" t="n">
        <f aca="false">INT((COLUMN()-2)/12)</f>
        <v>0</v>
      </c>
      <c r="L5" s="2" t="n">
        <f aca="false">INT((COLUMN()-2)/12)</f>
        <v>0</v>
      </c>
      <c r="M5" s="2" t="n">
        <f aca="false">INT((COLUMN()-2)/12)</f>
        <v>0</v>
      </c>
      <c r="N5" s="2" t="n">
        <f aca="false">INT((COLUMN()-2)/12)</f>
        <v>1</v>
      </c>
      <c r="O5" s="2" t="n">
        <f aca="false">INT((COLUMN()-2)/12)</f>
        <v>1</v>
      </c>
      <c r="P5" s="2" t="n">
        <f aca="false">INT((COLUMN()-2)/12)</f>
        <v>1</v>
      </c>
      <c r="Q5" s="2" t="n">
        <f aca="false">INT((COLUMN()-2)/12)</f>
        <v>1</v>
      </c>
      <c r="R5" s="2" t="n">
        <f aca="false">INT((COLUMN()-2)/12)</f>
        <v>1</v>
      </c>
      <c r="S5" s="2" t="n">
        <f aca="false">INT((COLUMN()-2)/12)</f>
        <v>1</v>
      </c>
      <c r="T5" s="2" t="n">
        <f aca="false">INT((COLUMN()-2)/12)</f>
        <v>1</v>
      </c>
      <c r="U5" s="2" t="n">
        <f aca="false">INT((COLUMN()-2)/12)</f>
        <v>1</v>
      </c>
      <c r="V5" s="2" t="n">
        <f aca="false">INT((COLUMN()-2)/12)</f>
        <v>1</v>
      </c>
      <c r="W5" s="2" t="n">
        <f aca="false">INT((COLUMN()-2)/12)</f>
        <v>1</v>
      </c>
      <c r="X5" s="2" t="n">
        <f aca="false">INT((COLUMN()-2)/12)</f>
        <v>1</v>
      </c>
      <c r="Y5" s="2" t="n">
        <f aca="false">INT((COLUMN()-2)/12)</f>
        <v>1</v>
      </c>
      <c r="Z5" s="2" t="n">
        <f aca="false">INT((COLUMN()-2)/12)</f>
        <v>2</v>
      </c>
      <c r="AA5" s="2" t="n">
        <f aca="false">INT((COLUMN()-2)/12)</f>
        <v>2</v>
      </c>
      <c r="AB5" s="2" t="n">
        <f aca="false">INT((COLUMN()-2)/12)</f>
        <v>2</v>
      </c>
      <c r="AC5" s="2" t="n">
        <f aca="false">INT((COLUMN()-2)/12)</f>
        <v>2</v>
      </c>
      <c r="AD5" s="2" t="n">
        <f aca="false">INT((COLUMN()-2)/12)</f>
        <v>2</v>
      </c>
      <c r="AE5" s="2" t="n">
        <f aca="false">INT((COLUMN()-2)/12)</f>
        <v>2</v>
      </c>
      <c r="AF5" s="2" t="n">
        <f aca="false">INT((COLUMN()-2)/12)</f>
        <v>2</v>
      </c>
      <c r="AG5" s="2" t="n">
        <f aca="false">INT((COLUMN()-2)/12)</f>
        <v>2</v>
      </c>
      <c r="AH5" s="2" t="n">
        <f aca="false">INT((COLUMN()-2)/12)</f>
        <v>2</v>
      </c>
      <c r="AI5" s="2" t="n">
        <f aca="false">INT((COLUMN()-2)/12)</f>
        <v>2</v>
      </c>
      <c r="AJ5" s="2" t="n">
        <f aca="false">INT((COLUMN()-2)/12)</f>
        <v>2</v>
      </c>
      <c r="AK5" s="2" t="n">
        <f aca="false">INT((COLUMN()-2)/12)</f>
        <v>2</v>
      </c>
    </row>
    <row r="7" customFormat="false" ht="15" hidden="false" customHeight="false" outlineLevel="0" collapsed="false">
      <c r="A7" s="5" t="s">
        <v>264</v>
      </c>
      <c r="B7" s="12" t="n">
        <f aca="false">Varsayımlar!$B$33*Varsayımlar!$B$9*(1+Varsayımlar!$B$10)^(COLUMN()-2)</f>
        <v>775000</v>
      </c>
      <c r="C7" s="12" t="n">
        <f aca="false">Varsayımlar!$B$33*Varsayımlar!$B$9*(1+Varsayımlar!$B$10)^(COLUMN()-2)</f>
        <v>775000</v>
      </c>
      <c r="D7" s="12" t="n">
        <f aca="false">Varsayımlar!$B$33*Varsayımlar!$B$9*(1+Varsayımlar!$B$10)^(COLUMN()-2)</f>
        <v>775000</v>
      </c>
      <c r="E7" s="12" t="n">
        <f aca="false">Varsayımlar!$B$33*Varsayımlar!$B$9*(1+Varsayımlar!$B$10)^(COLUMN()-2)</f>
        <v>775000</v>
      </c>
      <c r="F7" s="12" t="n">
        <f aca="false">Varsayımlar!$B$33*Varsayımlar!$B$9*(1+Varsayımlar!$B$10)^(COLUMN()-2)</f>
        <v>775000</v>
      </c>
      <c r="G7" s="12" t="n">
        <f aca="false">Varsayımlar!$B$33*Varsayımlar!$B$9*(1+Varsayımlar!$B$10)^(COLUMN()-2)</f>
        <v>775000</v>
      </c>
      <c r="H7" s="12" t="n">
        <f aca="false">Varsayımlar!$B$33*Varsayımlar!$B$9*(1+Varsayımlar!$B$10)^(COLUMN()-2)</f>
        <v>775000</v>
      </c>
      <c r="I7" s="12" t="n">
        <f aca="false">Varsayımlar!$B$33*Varsayımlar!$B$9*(1+Varsayımlar!$B$10)^(COLUMN()-2)</f>
        <v>775000</v>
      </c>
      <c r="J7" s="12" t="n">
        <f aca="false">Varsayımlar!$B$33*Varsayımlar!$B$9*(1+Varsayımlar!$B$10)^(COLUMN()-2)</f>
        <v>775000</v>
      </c>
      <c r="K7" s="12" t="n">
        <f aca="false">Varsayımlar!$B$33*Varsayımlar!$B$9*(1+Varsayımlar!$B$10)^(COLUMN()-2)</f>
        <v>775000</v>
      </c>
      <c r="L7" s="12" t="n">
        <f aca="false">Varsayımlar!$B$33*Varsayımlar!$B$9*(1+Varsayımlar!$B$10)^(COLUMN()-2)</f>
        <v>775000</v>
      </c>
      <c r="M7" s="12" t="n">
        <f aca="false">Varsayımlar!$B$33*Varsayımlar!$B$9*(1+Varsayımlar!$B$10)^(COLUMN()-2)</f>
        <v>775000</v>
      </c>
      <c r="N7" s="12" t="n">
        <f aca="false">Varsayımlar!$B$33*Varsayımlar!$B$9*(1+Varsayımlar!$B$10)^(COLUMN()-2)</f>
        <v>775000</v>
      </c>
      <c r="O7" s="12" t="n">
        <f aca="false">Varsayımlar!$B$33*Varsayımlar!$B$9*(1+Varsayımlar!$B$10)^(COLUMN()-2)</f>
        <v>775000</v>
      </c>
      <c r="P7" s="12" t="n">
        <f aca="false">Varsayımlar!$B$33*Varsayımlar!$B$9*(1+Varsayımlar!$B$10)^(COLUMN()-2)</f>
        <v>775000</v>
      </c>
      <c r="Q7" s="12" t="n">
        <f aca="false">Varsayımlar!$B$33*Varsayımlar!$B$9*(1+Varsayımlar!$B$10)^(COLUMN()-2)</f>
        <v>775000</v>
      </c>
      <c r="R7" s="12" t="n">
        <f aca="false">Varsayımlar!$B$33*Varsayımlar!$B$9*(1+Varsayımlar!$B$10)^(COLUMN()-2)</f>
        <v>775000</v>
      </c>
      <c r="S7" s="12" t="n">
        <f aca="false">Varsayımlar!$B$33*Varsayımlar!$B$9*(1+Varsayımlar!$B$10)^(COLUMN()-2)</f>
        <v>775000</v>
      </c>
      <c r="T7" s="12" t="n">
        <f aca="false">Varsayımlar!$B$33*Varsayımlar!$B$9*(1+Varsayımlar!$B$10)^(COLUMN()-2)</f>
        <v>775000</v>
      </c>
      <c r="U7" s="12" t="n">
        <f aca="false">Varsayımlar!$B$33*Varsayımlar!$B$9*(1+Varsayımlar!$B$10)^(COLUMN()-2)</f>
        <v>775000</v>
      </c>
      <c r="V7" s="12" t="n">
        <f aca="false">Varsayımlar!$B$33*Varsayımlar!$B$9*(1+Varsayımlar!$B$10)^(COLUMN()-2)</f>
        <v>775000</v>
      </c>
      <c r="W7" s="12" t="n">
        <f aca="false">Varsayımlar!$B$33*Varsayımlar!$B$9*(1+Varsayımlar!$B$10)^(COLUMN()-2)</f>
        <v>775000</v>
      </c>
      <c r="X7" s="12" t="n">
        <f aca="false">Varsayımlar!$B$33*Varsayımlar!$B$9*(1+Varsayımlar!$B$10)^(COLUMN()-2)</f>
        <v>775000</v>
      </c>
      <c r="Y7" s="12" t="n">
        <f aca="false">Varsayımlar!$B$33*Varsayımlar!$B$9*(1+Varsayımlar!$B$10)^(COLUMN()-2)</f>
        <v>775000</v>
      </c>
      <c r="Z7" s="12" t="n">
        <f aca="false">Varsayımlar!$B$33*Varsayımlar!$B$9*(1+Varsayımlar!$B$10)^(COLUMN()-2)</f>
        <v>775000</v>
      </c>
      <c r="AA7" s="12" t="n">
        <f aca="false">Varsayımlar!$B$33*Varsayımlar!$B$9*(1+Varsayımlar!$B$10)^(COLUMN()-2)</f>
        <v>775000</v>
      </c>
      <c r="AB7" s="12" t="n">
        <f aca="false">Varsayımlar!$B$33*Varsayımlar!$B$9*(1+Varsayımlar!$B$10)^(COLUMN()-2)</f>
        <v>775000</v>
      </c>
      <c r="AC7" s="12" t="n">
        <f aca="false">Varsayımlar!$B$33*Varsayımlar!$B$9*(1+Varsayımlar!$B$10)^(COLUMN()-2)</f>
        <v>775000</v>
      </c>
      <c r="AD7" s="12" t="n">
        <f aca="false">Varsayımlar!$B$33*Varsayımlar!$B$9*(1+Varsayımlar!$B$10)^(COLUMN()-2)</f>
        <v>775000</v>
      </c>
      <c r="AE7" s="12" t="n">
        <f aca="false">Varsayımlar!$B$33*Varsayımlar!$B$9*(1+Varsayımlar!$B$10)^(COLUMN()-2)</f>
        <v>775000</v>
      </c>
      <c r="AF7" s="12" t="n">
        <f aca="false">Varsayımlar!$B$33*Varsayımlar!$B$9*(1+Varsayımlar!$B$10)^(COLUMN()-2)</f>
        <v>775000</v>
      </c>
      <c r="AG7" s="12" t="n">
        <f aca="false">Varsayımlar!$B$33*Varsayımlar!$B$9*(1+Varsayımlar!$B$10)^(COLUMN()-2)</f>
        <v>775000</v>
      </c>
      <c r="AH7" s="12" t="n">
        <f aca="false">Varsayımlar!$B$33*Varsayımlar!$B$9*(1+Varsayımlar!$B$10)^(COLUMN()-2)</f>
        <v>775000</v>
      </c>
      <c r="AI7" s="12" t="n">
        <f aca="false">Varsayımlar!$B$33*Varsayımlar!$B$9*(1+Varsayımlar!$B$10)^(COLUMN()-2)</f>
        <v>775000</v>
      </c>
      <c r="AJ7" s="12" t="n">
        <f aca="false">Varsayımlar!$B$33*Varsayımlar!$B$9*(1+Varsayımlar!$B$10)^(COLUMN()-2)</f>
        <v>775000</v>
      </c>
      <c r="AK7" s="12" t="n">
        <f aca="false">Varsayımlar!$B$33*Varsayımlar!$B$9*(1+Varsayımlar!$B$10)^(COLUMN()-2)</f>
        <v>775000</v>
      </c>
      <c r="AL7" s="21" t="n">
        <f aca="false">SUM(B7:AK7)</f>
        <v>27900000</v>
      </c>
    </row>
    <row r="8" customFormat="false" ht="15" hidden="false" customHeight="false" outlineLevel="0" collapsed="false">
      <c r="A8" s="5" t="s">
        <v>265</v>
      </c>
      <c r="B8" s="12" t="n">
        <f aca="false">Varsayımlar!$B$34*Varsayımlar!$B$9*(1+Varsayımlar!$B$10)^(COLUMN()-2)</f>
        <v>750000</v>
      </c>
      <c r="C8" s="12" t="n">
        <f aca="false">Varsayımlar!$B$34*Varsayımlar!$B$9*(1+Varsayımlar!$B$10)^(COLUMN()-2)</f>
        <v>750000</v>
      </c>
      <c r="D8" s="12" t="n">
        <f aca="false">Varsayımlar!$B$34*Varsayımlar!$B$9*(1+Varsayımlar!$B$10)^(COLUMN()-2)</f>
        <v>750000</v>
      </c>
      <c r="E8" s="12" t="n">
        <f aca="false">Varsayımlar!$B$34*Varsayımlar!$B$9*(1+Varsayımlar!$B$10)^(COLUMN()-2)</f>
        <v>750000</v>
      </c>
      <c r="F8" s="12" t="n">
        <f aca="false">Varsayımlar!$B$34*Varsayımlar!$B$9*(1+Varsayımlar!$B$10)^(COLUMN()-2)</f>
        <v>750000</v>
      </c>
      <c r="G8" s="12" t="n">
        <f aca="false">Varsayımlar!$B$34*Varsayımlar!$B$9*(1+Varsayımlar!$B$10)^(COLUMN()-2)</f>
        <v>750000</v>
      </c>
      <c r="H8" s="12" t="n">
        <f aca="false">Varsayımlar!$B$34*Varsayımlar!$B$9*(1+Varsayımlar!$B$10)^(COLUMN()-2)</f>
        <v>750000</v>
      </c>
      <c r="I8" s="12" t="n">
        <f aca="false">Varsayımlar!$B$34*Varsayımlar!$B$9*(1+Varsayımlar!$B$10)^(COLUMN()-2)</f>
        <v>750000</v>
      </c>
      <c r="J8" s="12" t="n">
        <f aca="false">Varsayımlar!$B$34*Varsayımlar!$B$9*(1+Varsayımlar!$B$10)^(COLUMN()-2)</f>
        <v>750000</v>
      </c>
      <c r="K8" s="12" t="n">
        <f aca="false">Varsayımlar!$B$34*Varsayımlar!$B$9*(1+Varsayımlar!$B$10)^(COLUMN()-2)</f>
        <v>750000</v>
      </c>
      <c r="L8" s="12" t="n">
        <f aca="false">Varsayımlar!$B$34*Varsayımlar!$B$9*(1+Varsayımlar!$B$10)^(COLUMN()-2)</f>
        <v>750000</v>
      </c>
      <c r="M8" s="12" t="n">
        <f aca="false">Varsayımlar!$B$34*Varsayımlar!$B$9*(1+Varsayımlar!$B$10)^(COLUMN()-2)</f>
        <v>750000</v>
      </c>
      <c r="N8" s="12" t="n">
        <f aca="false">Varsayımlar!$B$34*Varsayımlar!$B$9*(1+Varsayımlar!$B$10)^(COLUMN()-2)</f>
        <v>750000</v>
      </c>
      <c r="O8" s="12" t="n">
        <f aca="false">Varsayımlar!$B$34*Varsayımlar!$B$9*(1+Varsayımlar!$B$10)^(COLUMN()-2)</f>
        <v>750000</v>
      </c>
      <c r="P8" s="12" t="n">
        <f aca="false">Varsayımlar!$B$34*Varsayımlar!$B$9*(1+Varsayımlar!$B$10)^(COLUMN()-2)</f>
        <v>750000</v>
      </c>
      <c r="Q8" s="12" t="n">
        <f aca="false">Varsayımlar!$B$34*Varsayımlar!$B$9*(1+Varsayımlar!$B$10)^(COLUMN()-2)</f>
        <v>750000</v>
      </c>
      <c r="R8" s="12" t="n">
        <f aca="false">Varsayımlar!$B$34*Varsayımlar!$B$9*(1+Varsayımlar!$B$10)^(COLUMN()-2)</f>
        <v>750000</v>
      </c>
      <c r="S8" s="12" t="n">
        <f aca="false">Varsayımlar!$B$34*Varsayımlar!$B$9*(1+Varsayımlar!$B$10)^(COLUMN()-2)</f>
        <v>750000</v>
      </c>
      <c r="T8" s="12" t="n">
        <f aca="false">Varsayımlar!$B$34*Varsayımlar!$B$9*(1+Varsayımlar!$B$10)^(COLUMN()-2)</f>
        <v>750000</v>
      </c>
      <c r="U8" s="12" t="n">
        <f aca="false">Varsayımlar!$B$34*Varsayımlar!$B$9*(1+Varsayımlar!$B$10)^(COLUMN()-2)</f>
        <v>750000</v>
      </c>
      <c r="V8" s="12" t="n">
        <f aca="false">Varsayımlar!$B$34*Varsayımlar!$B$9*(1+Varsayımlar!$B$10)^(COLUMN()-2)</f>
        <v>750000</v>
      </c>
      <c r="W8" s="12" t="n">
        <f aca="false">Varsayımlar!$B$34*Varsayımlar!$B$9*(1+Varsayımlar!$B$10)^(COLUMN()-2)</f>
        <v>750000</v>
      </c>
      <c r="X8" s="12" t="n">
        <f aca="false">Varsayımlar!$B$34*Varsayımlar!$B$9*(1+Varsayımlar!$B$10)^(COLUMN()-2)</f>
        <v>750000</v>
      </c>
      <c r="Y8" s="12" t="n">
        <f aca="false">Varsayımlar!$B$34*Varsayımlar!$B$9*(1+Varsayımlar!$B$10)^(COLUMN()-2)</f>
        <v>750000</v>
      </c>
      <c r="Z8" s="12" t="n">
        <f aca="false">Varsayımlar!$B$34*Varsayımlar!$B$9*(1+Varsayımlar!$B$10)^(COLUMN()-2)</f>
        <v>750000</v>
      </c>
      <c r="AA8" s="12" t="n">
        <f aca="false">Varsayımlar!$B$34*Varsayımlar!$B$9*(1+Varsayımlar!$B$10)^(COLUMN()-2)</f>
        <v>750000</v>
      </c>
      <c r="AB8" s="12" t="n">
        <f aca="false">Varsayımlar!$B$34*Varsayımlar!$B$9*(1+Varsayımlar!$B$10)^(COLUMN()-2)</f>
        <v>750000</v>
      </c>
      <c r="AC8" s="12" t="n">
        <f aca="false">Varsayımlar!$B$34*Varsayımlar!$B$9*(1+Varsayımlar!$B$10)^(COLUMN()-2)</f>
        <v>750000</v>
      </c>
      <c r="AD8" s="12" t="n">
        <f aca="false">Varsayımlar!$B$34*Varsayımlar!$B$9*(1+Varsayımlar!$B$10)^(COLUMN()-2)</f>
        <v>750000</v>
      </c>
      <c r="AE8" s="12" t="n">
        <f aca="false">Varsayımlar!$B$34*Varsayımlar!$B$9*(1+Varsayımlar!$B$10)^(COLUMN()-2)</f>
        <v>750000</v>
      </c>
      <c r="AF8" s="12" t="n">
        <f aca="false">Varsayımlar!$B$34*Varsayımlar!$B$9*(1+Varsayımlar!$B$10)^(COLUMN()-2)</f>
        <v>750000</v>
      </c>
      <c r="AG8" s="12" t="n">
        <f aca="false">Varsayımlar!$B$34*Varsayımlar!$B$9*(1+Varsayımlar!$B$10)^(COLUMN()-2)</f>
        <v>750000</v>
      </c>
      <c r="AH8" s="12" t="n">
        <f aca="false">Varsayımlar!$B$34*Varsayımlar!$B$9*(1+Varsayımlar!$B$10)^(COLUMN()-2)</f>
        <v>750000</v>
      </c>
      <c r="AI8" s="12" t="n">
        <f aca="false">Varsayımlar!$B$34*Varsayımlar!$B$9*(1+Varsayımlar!$B$10)^(COLUMN()-2)</f>
        <v>750000</v>
      </c>
      <c r="AJ8" s="12" t="n">
        <f aca="false">Varsayımlar!$B$34*Varsayımlar!$B$9*(1+Varsayımlar!$B$10)^(COLUMN()-2)</f>
        <v>750000</v>
      </c>
      <c r="AK8" s="12" t="n">
        <f aca="false">Varsayımlar!$B$34*Varsayımlar!$B$9*(1+Varsayımlar!$B$10)^(COLUMN()-2)</f>
        <v>750000</v>
      </c>
      <c r="AL8" s="21" t="n">
        <f aca="false">SUM(B8:AK8)</f>
        <v>27000000</v>
      </c>
    </row>
    <row r="9" customFormat="false" ht="15" hidden="false" customHeight="false" outlineLevel="0" collapsed="false">
      <c r="A9" s="5" t="s">
        <v>266</v>
      </c>
      <c r="B9" s="12" t="n">
        <f aca="false">Varsayımlar!$B$35*Varsayımlar!$B$9*(1+Varsayımlar!$B$10)^(COLUMN()-2)</f>
        <v>75000</v>
      </c>
      <c r="C9" s="12" t="n">
        <f aca="false">Varsayımlar!$B$35*Varsayımlar!$B$9*(1+Varsayımlar!$B$10)^(COLUMN()-2)</f>
        <v>75000</v>
      </c>
      <c r="D9" s="12" t="n">
        <f aca="false">Varsayımlar!$B$35*Varsayımlar!$B$9*(1+Varsayımlar!$B$10)^(COLUMN()-2)</f>
        <v>75000</v>
      </c>
      <c r="E9" s="12" t="n">
        <f aca="false">Varsayımlar!$B$35*Varsayımlar!$B$9*(1+Varsayımlar!$B$10)^(COLUMN()-2)</f>
        <v>75000</v>
      </c>
      <c r="F9" s="12" t="n">
        <f aca="false">Varsayımlar!$B$35*Varsayımlar!$B$9*(1+Varsayımlar!$B$10)^(COLUMN()-2)</f>
        <v>75000</v>
      </c>
      <c r="G9" s="12" t="n">
        <f aca="false">Varsayımlar!$B$35*Varsayımlar!$B$9*(1+Varsayımlar!$B$10)^(COLUMN()-2)</f>
        <v>75000</v>
      </c>
      <c r="H9" s="12" t="n">
        <f aca="false">Varsayımlar!$B$35*Varsayımlar!$B$9*(1+Varsayımlar!$B$10)^(COLUMN()-2)</f>
        <v>75000</v>
      </c>
      <c r="I9" s="12" t="n">
        <f aca="false">Varsayımlar!$B$35*Varsayımlar!$B$9*(1+Varsayımlar!$B$10)^(COLUMN()-2)</f>
        <v>75000</v>
      </c>
      <c r="J9" s="12" t="n">
        <f aca="false">Varsayımlar!$B$35*Varsayımlar!$B$9*(1+Varsayımlar!$B$10)^(COLUMN()-2)</f>
        <v>75000</v>
      </c>
      <c r="K9" s="12" t="n">
        <f aca="false">Varsayımlar!$B$35*Varsayımlar!$B$9*(1+Varsayımlar!$B$10)^(COLUMN()-2)</f>
        <v>75000</v>
      </c>
      <c r="L9" s="12" t="n">
        <f aca="false">Varsayımlar!$B$35*Varsayımlar!$B$9*(1+Varsayımlar!$B$10)^(COLUMN()-2)</f>
        <v>75000</v>
      </c>
      <c r="M9" s="12" t="n">
        <f aca="false">Varsayımlar!$B$35*Varsayımlar!$B$9*(1+Varsayımlar!$B$10)^(COLUMN()-2)</f>
        <v>75000</v>
      </c>
      <c r="N9" s="12" t="n">
        <f aca="false">Varsayımlar!$B$35*Varsayımlar!$B$9*(1+Varsayımlar!$B$10)^(COLUMN()-2)</f>
        <v>75000</v>
      </c>
      <c r="O9" s="12" t="n">
        <f aca="false">Varsayımlar!$B$35*Varsayımlar!$B$9*(1+Varsayımlar!$B$10)^(COLUMN()-2)</f>
        <v>75000</v>
      </c>
      <c r="P9" s="12" t="n">
        <f aca="false">Varsayımlar!$B$35*Varsayımlar!$B$9*(1+Varsayımlar!$B$10)^(COLUMN()-2)</f>
        <v>75000</v>
      </c>
      <c r="Q9" s="12" t="n">
        <f aca="false">Varsayımlar!$B$35*Varsayımlar!$B$9*(1+Varsayımlar!$B$10)^(COLUMN()-2)</f>
        <v>75000</v>
      </c>
      <c r="R9" s="12" t="n">
        <f aca="false">Varsayımlar!$B$35*Varsayımlar!$B$9*(1+Varsayımlar!$B$10)^(COLUMN()-2)</f>
        <v>75000</v>
      </c>
      <c r="S9" s="12" t="n">
        <f aca="false">Varsayımlar!$B$35*Varsayımlar!$B$9*(1+Varsayımlar!$B$10)^(COLUMN()-2)</f>
        <v>75000</v>
      </c>
      <c r="T9" s="12" t="n">
        <f aca="false">Varsayımlar!$B$35*Varsayımlar!$B$9*(1+Varsayımlar!$B$10)^(COLUMN()-2)</f>
        <v>75000</v>
      </c>
      <c r="U9" s="12" t="n">
        <f aca="false">Varsayımlar!$B$35*Varsayımlar!$B$9*(1+Varsayımlar!$B$10)^(COLUMN()-2)</f>
        <v>75000</v>
      </c>
      <c r="V9" s="12" t="n">
        <f aca="false">Varsayımlar!$B$35*Varsayımlar!$B$9*(1+Varsayımlar!$B$10)^(COLUMN()-2)</f>
        <v>75000</v>
      </c>
      <c r="W9" s="12" t="n">
        <f aca="false">Varsayımlar!$B$35*Varsayımlar!$B$9*(1+Varsayımlar!$B$10)^(COLUMN()-2)</f>
        <v>75000</v>
      </c>
      <c r="X9" s="12" t="n">
        <f aca="false">Varsayımlar!$B$35*Varsayımlar!$B$9*(1+Varsayımlar!$B$10)^(COLUMN()-2)</f>
        <v>75000</v>
      </c>
      <c r="Y9" s="12" t="n">
        <f aca="false">Varsayımlar!$B$35*Varsayımlar!$B$9*(1+Varsayımlar!$B$10)^(COLUMN()-2)</f>
        <v>75000</v>
      </c>
      <c r="Z9" s="12" t="n">
        <f aca="false">Varsayımlar!$B$35*Varsayımlar!$B$9*(1+Varsayımlar!$B$10)^(COLUMN()-2)</f>
        <v>75000</v>
      </c>
      <c r="AA9" s="12" t="n">
        <f aca="false">Varsayımlar!$B$35*Varsayımlar!$B$9*(1+Varsayımlar!$B$10)^(COLUMN()-2)</f>
        <v>75000</v>
      </c>
      <c r="AB9" s="12" t="n">
        <f aca="false">Varsayımlar!$B$35*Varsayımlar!$B$9*(1+Varsayımlar!$B$10)^(COLUMN()-2)</f>
        <v>75000</v>
      </c>
      <c r="AC9" s="12" t="n">
        <f aca="false">Varsayımlar!$B$35*Varsayımlar!$B$9*(1+Varsayımlar!$B$10)^(COLUMN()-2)</f>
        <v>75000</v>
      </c>
      <c r="AD9" s="12" t="n">
        <f aca="false">Varsayımlar!$B$35*Varsayımlar!$B$9*(1+Varsayımlar!$B$10)^(COLUMN()-2)</f>
        <v>75000</v>
      </c>
      <c r="AE9" s="12" t="n">
        <f aca="false">Varsayımlar!$B$35*Varsayımlar!$B$9*(1+Varsayımlar!$B$10)^(COLUMN()-2)</f>
        <v>75000</v>
      </c>
      <c r="AF9" s="12" t="n">
        <f aca="false">Varsayımlar!$B$35*Varsayımlar!$B$9*(1+Varsayımlar!$B$10)^(COLUMN()-2)</f>
        <v>75000</v>
      </c>
      <c r="AG9" s="12" t="n">
        <f aca="false">Varsayımlar!$B$35*Varsayımlar!$B$9*(1+Varsayımlar!$B$10)^(COLUMN()-2)</f>
        <v>75000</v>
      </c>
      <c r="AH9" s="12" t="n">
        <f aca="false">Varsayımlar!$B$35*Varsayımlar!$B$9*(1+Varsayımlar!$B$10)^(COLUMN()-2)</f>
        <v>75000</v>
      </c>
      <c r="AI9" s="12" t="n">
        <f aca="false">Varsayımlar!$B$35*Varsayımlar!$B$9*(1+Varsayımlar!$B$10)^(COLUMN()-2)</f>
        <v>75000</v>
      </c>
      <c r="AJ9" s="12" t="n">
        <f aca="false">Varsayımlar!$B$35*Varsayımlar!$B$9*(1+Varsayımlar!$B$10)^(COLUMN()-2)</f>
        <v>75000</v>
      </c>
      <c r="AK9" s="12" t="n">
        <f aca="false">Varsayımlar!$B$35*Varsayımlar!$B$9*(1+Varsayımlar!$B$10)^(COLUMN()-2)</f>
        <v>75000</v>
      </c>
      <c r="AL9" s="21" t="n">
        <f aca="false">SUM(B9:AK9)</f>
        <v>2700000</v>
      </c>
    </row>
    <row r="10" customFormat="false" ht="15" hidden="false" customHeight="false" outlineLevel="0" collapsed="false">
      <c r="A10" s="5" t="s">
        <v>267</v>
      </c>
      <c r="B10" s="12" t="n">
        <f aca="false">Varsayımlar!$B$36*Varsayımlar!$B$9*(1+Varsayımlar!$B$10)^(COLUMN()-2)</f>
        <v>50000</v>
      </c>
      <c r="C10" s="12" t="n">
        <f aca="false">Varsayımlar!$B$36*Varsayımlar!$B$9*(1+Varsayımlar!$B$10)^(COLUMN()-2)</f>
        <v>50000</v>
      </c>
      <c r="D10" s="12" t="n">
        <f aca="false">Varsayımlar!$B$36*Varsayımlar!$B$9*(1+Varsayımlar!$B$10)^(COLUMN()-2)</f>
        <v>50000</v>
      </c>
      <c r="E10" s="12" t="n">
        <f aca="false">Varsayımlar!$B$36*Varsayımlar!$B$9*(1+Varsayımlar!$B$10)^(COLUMN()-2)</f>
        <v>50000</v>
      </c>
      <c r="F10" s="12" t="n">
        <f aca="false">Varsayımlar!$B$36*Varsayımlar!$B$9*(1+Varsayımlar!$B$10)^(COLUMN()-2)</f>
        <v>50000</v>
      </c>
      <c r="G10" s="12" t="n">
        <f aca="false">Varsayımlar!$B$36*Varsayımlar!$B$9*(1+Varsayımlar!$B$10)^(COLUMN()-2)</f>
        <v>50000</v>
      </c>
      <c r="H10" s="12" t="n">
        <f aca="false">Varsayımlar!$B$36*Varsayımlar!$B$9*(1+Varsayımlar!$B$10)^(COLUMN()-2)</f>
        <v>50000</v>
      </c>
      <c r="I10" s="12" t="n">
        <f aca="false">Varsayımlar!$B$36*Varsayımlar!$B$9*(1+Varsayımlar!$B$10)^(COLUMN()-2)</f>
        <v>50000</v>
      </c>
      <c r="J10" s="12" t="n">
        <f aca="false">Varsayımlar!$B$36*Varsayımlar!$B$9*(1+Varsayımlar!$B$10)^(COLUMN()-2)</f>
        <v>50000</v>
      </c>
      <c r="K10" s="12" t="n">
        <f aca="false">Varsayımlar!$B$36*Varsayımlar!$B$9*(1+Varsayımlar!$B$10)^(COLUMN()-2)</f>
        <v>50000</v>
      </c>
      <c r="L10" s="12" t="n">
        <f aca="false">Varsayımlar!$B$36*Varsayımlar!$B$9*(1+Varsayımlar!$B$10)^(COLUMN()-2)</f>
        <v>50000</v>
      </c>
      <c r="M10" s="12" t="n">
        <f aca="false">Varsayımlar!$B$36*Varsayımlar!$B$9*(1+Varsayımlar!$B$10)^(COLUMN()-2)</f>
        <v>50000</v>
      </c>
      <c r="N10" s="12" t="n">
        <f aca="false">Varsayımlar!$B$36*Varsayımlar!$B$9*(1+Varsayımlar!$B$10)^(COLUMN()-2)</f>
        <v>50000</v>
      </c>
      <c r="O10" s="12" t="n">
        <f aca="false">Varsayımlar!$B$36*Varsayımlar!$B$9*(1+Varsayımlar!$B$10)^(COLUMN()-2)</f>
        <v>50000</v>
      </c>
      <c r="P10" s="12" t="n">
        <f aca="false">Varsayımlar!$B$36*Varsayımlar!$B$9*(1+Varsayımlar!$B$10)^(COLUMN()-2)</f>
        <v>50000</v>
      </c>
      <c r="Q10" s="12" t="n">
        <f aca="false">Varsayımlar!$B$36*Varsayımlar!$B$9*(1+Varsayımlar!$B$10)^(COLUMN()-2)</f>
        <v>50000</v>
      </c>
      <c r="R10" s="12" t="n">
        <f aca="false">Varsayımlar!$B$36*Varsayımlar!$B$9*(1+Varsayımlar!$B$10)^(COLUMN()-2)</f>
        <v>50000</v>
      </c>
      <c r="S10" s="12" t="n">
        <f aca="false">Varsayımlar!$B$36*Varsayımlar!$B$9*(1+Varsayımlar!$B$10)^(COLUMN()-2)</f>
        <v>50000</v>
      </c>
      <c r="T10" s="12" t="n">
        <f aca="false">Varsayımlar!$B$36*Varsayımlar!$B$9*(1+Varsayımlar!$B$10)^(COLUMN()-2)</f>
        <v>50000</v>
      </c>
      <c r="U10" s="12" t="n">
        <f aca="false">Varsayımlar!$B$36*Varsayımlar!$B$9*(1+Varsayımlar!$B$10)^(COLUMN()-2)</f>
        <v>50000</v>
      </c>
      <c r="V10" s="12" t="n">
        <f aca="false">Varsayımlar!$B$36*Varsayımlar!$B$9*(1+Varsayımlar!$B$10)^(COLUMN()-2)</f>
        <v>50000</v>
      </c>
      <c r="W10" s="12" t="n">
        <f aca="false">Varsayımlar!$B$36*Varsayımlar!$B$9*(1+Varsayımlar!$B$10)^(COLUMN()-2)</f>
        <v>50000</v>
      </c>
      <c r="X10" s="12" t="n">
        <f aca="false">Varsayımlar!$B$36*Varsayımlar!$B$9*(1+Varsayımlar!$B$10)^(COLUMN()-2)</f>
        <v>50000</v>
      </c>
      <c r="Y10" s="12" t="n">
        <f aca="false">Varsayımlar!$B$36*Varsayımlar!$B$9*(1+Varsayımlar!$B$10)^(COLUMN()-2)</f>
        <v>50000</v>
      </c>
      <c r="Z10" s="12" t="n">
        <f aca="false">Varsayımlar!$B$36*Varsayımlar!$B$9*(1+Varsayımlar!$B$10)^(COLUMN()-2)</f>
        <v>50000</v>
      </c>
      <c r="AA10" s="12" t="n">
        <f aca="false">Varsayımlar!$B$36*Varsayımlar!$B$9*(1+Varsayımlar!$B$10)^(COLUMN()-2)</f>
        <v>50000</v>
      </c>
      <c r="AB10" s="12" t="n">
        <f aca="false">Varsayımlar!$B$36*Varsayımlar!$B$9*(1+Varsayımlar!$B$10)^(COLUMN()-2)</f>
        <v>50000</v>
      </c>
      <c r="AC10" s="12" t="n">
        <f aca="false">Varsayımlar!$B$36*Varsayımlar!$B$9*(1+Varsayımlar!$B$10)^(COLUMN()-2)</f>
        <v>50000</v>
      </c>
      <c r="AD10" s="12" t="n">
        <f aca="false">Varsayımlar!$B$36*Varsayımlar!$B$9*(1+Varsayımlar!$B$10)^(COLUMN()-2)</f>
        <v>50000</v>
      </c>
      <c r="AE10" s="12" t="n">
        <f aca="false">Varsayımlar!$B$36*Varsayımlar!$B$9*(1+Varsayımlar!$B$10)^(COLUMN()-2)</f>
        <v>50000</v>
      </c>
      <c r="AF10" s="12" t="n">
        <f aca="false">Varsayımlar!$B$36*Varsayımlar!$B$9*(1+Varsayımlar!$B$10)^(COLUMN()-2)</f>
        <v>50000</v>
      </c>
      <c r="AG10" s="12" t="n">
        <f aca="false">Varsayımlar!$B$36*Varsayımlar!$B$9*(1+Varsayımlar!$B$10)^(COLUMN()-2)</f>
        <v>50000</v>
      </c>
      <c r="AH10" s="12" t="n">
        <f aca="false">Varsayımlar!$B$36*Varsayımlar!$B$9*(1+Varsayımlar!$B$10)^(COLUMN()-2)</f>
        <v>50000</v>
      </c>
      <c r="AI10" s="12" t="n">
        <f aca="false">Varsayımlar!$B$36*Varsayımlar!$B$9*(1+Varsayımlar!$B$10)^(COLUMN()-2)</f>
        <v>50000</v>
      </c>
      <c r="AJ10" s="12" t="n">
        <f aca="false">Varsayımlar!$B$36*Varsayımlar!$B$9*(1+Varsayımlar!$B$10)^(COLUMN()-2)</f>
        <v>50000</v>
      </c>
      <c r="AK10" s="12" t="n">
        <f aca="false">Varsayımlar!$B$36*Varsayımlar!$B$9*(1+Varsayımlar!$B$10)^(COLUMN()-2)</f>
        <v>50000</v>
      </c>
      <c r="AL10" s="21" t="n">
        <f aca="false">SUM(B10:AK10)</f>
        <v>1800000</v>
      </c>
    </row>
    <row r="11" customFormat="false" ht="15" hidden="false" customHeight="false" outlineLevel="0" collapsed="false">
      <c r="A11" s="5" t="s">
        <v>268</v>
      </c>
      <c r="B11" s="21" t="n">
        <f aca="false">SUM(B7:B10)</f>
        <v>1650000</v>
      </c>
      <c r="C11" s="21" t="n">
        <f aca="false">SUM(C7:C10)</f>
        <v>1650000</v>
      </c>
      <c r="D11" s="21" t="n">
        <f aca="false">SUM(D7:D10)</f>
        <v>1650000</v>
      </c>
      <c r="E11" s="21" t="n">
        <f aca="false">SUM(E7:E10)</f>
        <v>1650000</v>
      </c>
      <c r="F11" s="21" t="n">
        <f aca="false">SUM(F7:F10)</f>
        <v>1650000</v>
      </c>
      <c r="G11" s="21" t="n">
        <f aca="false">SUM(G7:G10)</f>
        <v>1650000</v>
      </c>
      <c r="H11" s="21" t="n">
        <f aca="false">SUM(H7:H10)</f>
        <v>1650000</v>
      </c>
      <c r="I11" s="21" t="n">
        <f aca="false">SUM(I7:I10)</f>
        <v>1650000</v>
      </c>
      <c r="J11" s="21" t="n">
        <f aca="false">SUM(J7:J10)</f>
        <v>1650000</v>
      </c>
      <c r="K11" s="21" t="n">
        <f aca="false">SUM(K7:K10)</f>
        <v>1650000</v>
      </c>
      <c r="L11" s="21" t="n">
        <f aca="false">SUM(L7:L10)</f>
        <v>1650000</v>
      </c>
      <c r="M11" s="21" t="n">
        <f aca="false">SUM(M7:M10)</f>
        <v>1650000</v>
      </c>
      <c r="N11" s="21" t="n">
        <f aca="false">SUM(N7:N10)</f>
        <v>1650000</v>
      </c>
      <c r="O11" s="21" t="n">
        <f aca="false">SUM(O7:O10)</f>
        <v>1650000</v>
      </c>
      <c r="P11" s="21" t="n">
        <f aca="false">SUM(P7:P10)</f>
        <v>1650000</v>
      </c>
      <c r="Q11" s="21" t="n">
        <f aca="false">SUM(Q7:Q10)</f>
        <v>1650000</v>
      </c>
      <c r="R11" s="21" t="n">
        <f aca="false">SUM(R7:R10)</f>
        <v>1650000</v>
      </c>
      <c r="S11" s="21" t="n">
        <f aca="false">SUM(S7:S10)</f>
        <v>1650000</v>
      </c>
      <c r="T11" s="21" t="n">
        <f aca="false">SUM(T7:T10)</f>
        <v>1650000</v>
      </c>
      <c r="U11" s="21" t="n">
        <f aca="false">SUM(U7:U10)</f>
        <v>1650000</v>
      </c>
      <c r="V11" s="21" t="n">
        <f aca="false">SUM(V7:V10)</f>
        <v>1650000</v>
      </c>
      <c r="W11" s="21" t="n">
        <f aca="false">SUM(W7:W10)</f>
        <v>1650000</v>
      </c>
      <c r="X11" s="21" t="n">
        <f aca="false">SUM(X7:X10)</f>
        <v>1650000</v>
      </c>
      <c r="Y11" s="21" t="n">
        <f aca="false">SUM(Y7:Y10)</f>
        <v>1650000</v>
      </c>
      <c r="Z11" s="21" t="n">
        <f aca="false">SUM(Z7:Z10)</f>
        <v>1650000</v>
      </c>
      <c r="AA11" s="21" t="n">
        <f aca="false">SUM(AA7:AA10)</f>
        <v>1650000</v>
      </c>
      <c r="AB11" s="21" t="n">
        <f aca="false">SUM(AB7:AB10)</f>
        <v>1650000</v>
      </c>
      <c r="AC11" s="21" t="n">
        <f aca="false">SUM(AC7:AC10)</f>
        <v>1650000</v>
      </c>
      <c r="AD11" s="21" t="n">
        <f aca="false">SUM(AD7:AD10)</f>
        <v>1650000</v>
      </c>
      <c r="AE11" s="21" t="n">
        <f aca="false">SUM(AE7:AE10)</f>
        <v>1650000</v>
      </c>
      <c r="AF11" s="21" t="n">
        <f aca="false">SUM(AF7:AF10)</f>
        <v>1650000</v>
      </c>
      <c r="AG11" s="21" t="n">
        <f aca="false">SUM(AG7:AG10)</f>
        <v>1650000</v>
      </c>
      <c r="AH11" s="21" t="n">
        <f aca="false">SUM(AH7:AH10)</f>
        <v>1650000</v>
      </c>
      <c r="AI11" s="21" t="n">
        <f aca="false">SUM(AI7:AI10)</f>
        <v>1650000</v>
      </c>
      <c r="AJ11" s="21" t="n">
        <f aca="false">SUM(AJ7:AJ10)</f>
        <v>1650000</v>
      </c>
      <c r="AK11" s="21" t="n">
        <f aca="false">SUM(AK7:AK10)</f>
        <v>1650000</v>
      </c>
      <c r="AL11" s="21" t="n">
        <f aca="false">SUM(B11:AK11)</f>
        <v>59400000</v>
      </c>
    </row>
    <row r="12" customFormat="false" ht="15" hidden="false" customHeight="false" outlineLevel="0" collapsed="false">
      <c r="A12" s="5" t="s">
        <v>269</v>
      </c>
      <c r="B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C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D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E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F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G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H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I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J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K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L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M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N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O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P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Q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R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S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T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U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V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W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X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Y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Z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A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B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C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D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E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F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G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H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I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J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K12" s="12" t="n">
        <f aca="false">INDEX($B$7:$AK$7,1,MAX(1,COLUMN()-2+1-Varsayımlar!$D$33))+INDEX($B$8:$AK$8,1,MAX(1,COLUMN()-2+1-Varsayımlar!$D$34))+INDEX($B$9:$AK$9,1,MAX(1,COLUMN()-2+1-Varsayımlar!$D$35))+INDEX($B$10:$AK$10,1,MAX(1,COLUMN()-2+1-Varsayımlar!$D$36))</f>
        <v>1650000</v>
      </c>
      <c r="AL12" s="21" t="n">
        <f aca="false">SUM(B12:AK12)</f>
        <v>59400000</v>
      </c>
    </row>
    <row r="13" customFormat="false" ht="15" hidden="false" customHeight="false" outlineLevel="0" collapsed="false">
      <c r="A13" s="5" t="s">
        <v>270</v>
      </c>
      <c r="B13" s="12" t="n">
        <f aca="false">-(B7*(1-Varsayımlar!$C$33)+B8*(1-Varsayımlar!$C$34)+B9*(1-Varsayımlar!$C$35)+B10*(1-Varsayımlar!$C$36))</f>
        <v>-830000</v>
      </c>
      <c r="C13" s="12" t="n">
        <f aca="false">-(C7*(1-Varsayımlar!$C$33)+C8*(1-Varsayımlar!$C$34)+C9*(1-Varsayımlar!$C$35)+C10*(1-Varsayımlar!$C$36))</f>
        <v>-830000</v>
      </c>
      <c r="D13" s="12" t="n">
        <f aca="false">-(D7*(1-Varsayımlar!$C$33)+D8*(1-Varsayımlar!$C$34)+D9*(1-Varsayımlar!$C$35)+D10*(1-Varsayımlar!$C$36))</f>
        <v>-830000</v>
      </c>
      <c r="E13" s="12" t="n">
        <f aca="false">-(E7*(1-Varsayımlar!$C$33)+E8*(1-Varsayımlar!$C$34)+E9*(1-Varsayımlar!$C$35)+E10*(1-Varsayımlar!$C$36))</f>
        <v>-830000</v>
      </c>
      <c r="F13" s="12" t="n">
        <f aca="false">-(F7*(1-Varsayımlar!$C$33)+F8*(1-Varsayımlar!$C$34)+F9*(1-Varsayımlar!$C$35)+F10*(1-Varsayımlar!$C$36))</f>
        <v>-830000</v>
      </c>
      <c r="G13" s="12" t="n">
        <f aca="false">-(G7*(1-Varsayımlar!$C$33)+G8*(1-Varsayımlar!$C$34)+G9*(1-Varsayımlar!$C$35)+G10*(1-Varsayımlar!$C$36))</f>
        <v>-830000</v>
      </c>
      <c r="H13" s="12" t="n">
        <f aca="false">-(H7*(1-Varsayımlar!$C$33)+H8*(1-Varsayımlar!$C$34)+H9*(1-Varsayımlar!$C$35)+H10*(1-Varsayımlar!$C$36))</f>
        <v>-830000</v>
      </c>
      <c r="I13" s="12" t="n">
        <f aca="false">-(I7*(1-Varsayımlar!$C$33)+I8*(1-Varsayımlar!$C$34)+I9*(1-Varsayımlar!$C$35)+I10*(1-Varsayımlar!$C$36))</f>
        <v>-830000</v>
      </c>
      <c r="J13" s="12" t="n">
        <f aca="false">-(J7*(1-Varsayımlar!$C$33)+J8*(1-Varsayımlar!$C$34)+J9*(1-Varsayımlar!$C$35)+J10*(1-Varsayımlar!$C$36))</f>
        <v>-830000</v>
      </c>
      <c r="K13" s="12" t="n">
        <f aca="false">-(K7*(1-Varsayımlar!$C$33)+K8*(1-Varsayımlar!$C$34)+K9*(1-Varsayımlar!$C$35)+K10*(1-Varsayımlar!$C$36))</f>
        <v>-830000</v>
      </c>
      <c r="L13" s="12" t="n">
        <f aca="false">-(L7*(1-Varsayımlar!$C$33)+L8*(1-Varsayımlar!$C$34)+L9*(1-Varsayımlar!$C$35)+L10*(1-Varsayımlar!$C$36))</f>
        <v>-830000</v>
      </c>
      <c r="M13" s="12" t="n">
        <f aca="false">-(M7*(1-Varsayımlar!$C$33)+M8*(1-Varsayımlar!$C$34)+M9*(1-Varsayımlar!$C$35)+M10*(1-Varsayımlar!$C$36))</f>
        <v>-830000</v>
      </c>
      <c r="N13" s="12" t="n">
        <f aca="false">-(N7*(1-Varsayımlar!$C$33)+N8*(1-Varsayımlar!$C$34)+N9*(1-Varsayımlar!$C$35)+N10*(1-Varsayımlar!$C$36))</f>
        <v>-830000</v>
      </c>
      <c r="O13" s="12" t="n">
        <f aca="false">-(O7*(1-Varsayımlar!$C$33)+O8*(1-Varsayımlar!$C$34)+O9*(1-Varsayımlar!$C$35)+O10*(1-Varsayımlar!$C$36))</f>
        <v>-830000</v>
      </c>
      <c r="P13" s="12" t="n">
        <f aca="false">-(P7*(1-Varsayımlar!$C$33)+P8*(1-Varsayımlar!$C$34)+P9*(1-Varsayımlar!$C$35)+P10*(1-Varsayımlar!$C$36))</f>
        <v>-830000</v>
      </c>
      <c r="Q13" s="12" t="n">
        <f aca="false">-(Q7*(1-Varsayımlar!$C$33)+Q8*(1-Varsayımlar!$C$34)+Q9*(1-Varsayımlar!$C$35)+Q10*(1-Varsayımlar!$C$36))</f>
        <v>-830000</v>
      </c>
      <c r="R13" s="12" t="n">
        <f aca="false">-(R7*(1-Varsayımlar!$C$33)+R8*(1-Varsayımlar!$C$34)+R9*(1-Varsayımlar!$C$35)+R10*(1-Varsayımlar!$C$36))</f>
        <v>-830000</v>
      </c>
      <c r="S13" s="12" t="n">
        <f aca="false">-(S7*(1-Varsayımlar!$C$33)+S8*(1-Varsayımlar!$C$34)+S9*(1-Varsayımlar!$C$35)+S10*(1-Varsayımlar!$C$36))</f>
        <v>-830000</v>
      </c>
      <c r="T13" s="12" t="n">
        <f aca="false">-(T7*(1-Varsayımlar!$C$33)+T8*(1-Varsayımlar!$C$34)+T9*(1-Varsayımlar!$C$35)+T10*(1-Varsayımlar!$C$36))</f>
        <v>-830000</v>
      </c>
      <c r="U13" s="12" t="n">
        <f aca="false">-(U7*(1-Varsayımlar!$C$33)+U8*(1-Varsayımlar!$C$34)+U9*(1-Varsayımlar!$C$35)+U10*(1-Varsayımlar!$C$36))</f>
        <v>-830000</v>
      </c>
      <c r="V13" s="12" t="n">
        <f aca="false">-(V7*(1-Varsayımlar!$C$33)+V8*(1-Varsayımlar!$C$34)+V9*(1-Varsayımlar!$C$35)+V10*(1-Varsayımlar!$C$36))</f>
        <v>-830000</v>
      </c>
      <c r="W13" s="12" t="n">
        <f aca="false">-(W7*(1-Varsayımlar!$C$33)+W8*(1-Varsayımlar!$C$34)+W9*(1-Varsayımlar!$C$35)+W10*(1-Varsayımlar!$C$36))</f>
        <v>-830000</v>
      </c>
      <c r="X13" s="12" t="n">
        <f aca="false">-(X7*(1-Varsayımlar!$C$33)+X8*(1-Varsayımlar!$C$34)+X9*(1-Varsayımlar!$C$35)+X10*(1-Varsayımlar!$C$36))</f>
        <v>-830000</v>
      </c>
      <c r="Y13" s="12" t="n">
        <f aca="false">-(Y7*(1-Varsayımlar!$C$33)+Y8*(1-Varsayımlar!$C$34)+Y9*(1-Varsayımlar!$C$35)+Y10*(1-Varsayımlar!$C$36))</f>
        <v>-830000</v>
      </c>
      <c r="Z13" s="12" t="n">
        <f aca="false">-(Z7*(1-Varsayımlar!$C$33)+Z8*(1-Varsayımlar!$C$34)+Z9*(1-Varsayımlar!$C$35)+Z10*(1-Varsayımlar!$C$36))</f>
        <v>-830000</v>
      </c>
      <c r="AA13" s="12" t="n">
        <f aca="false">-(AA7*(1-Varsayımlar!$C$33)+AA8*(1-Varsayımlar!$C$34)+AA9*(1-Varsayımlar!$C$35)+AA10*(1-Varsayımlar!$C$36))</f>
        <v>-830000</v>
      </c>
      <c r="AB13" s="12" t="n">
        <f aca="false">-(AB7*(1-Varsayımlar!$C$33)+AB8*(1-Varsayımlar!$C$34)+AB9*(1-Varsayımlar!$C$35)+AB10*(1-Varsayımlar!$C$36))</f>
        <v>-830000</v>
      </c>
      <c r="AC13" s="12" t="n">
        <f aca="false">-(AC7*(1-Varsayımlar!$C$33)+AC8*(1-Varsayımlar!$C$34)+AC9*(1-Varsayımlar!$C$35)+AC10*(1-Varsayımlar!$C$36))</f>
        <v>-830000</v>
      </c>
      <c r="AD13" s="12" t="n">
        <f aca="false">-(AD7*(1-Varsayımlar!$C$33)+AD8*(1-Varsayımlar!$C$34)+AD9*(1-Varsayımlar!$C$35)+AD10*(1-Varsayımlar!$C$36))</f>
        <v>-830000</v>
      </c>
      <c r="AE13" s="12" t="n">
        <f aca="false">-(AE7*(1-Varsayımlar!$C$33)+AE8*(1-Varsayımlar!$C$34)+AE9*(1-Varsayımlar!$C$35)+AE10*(1-Varsayımlar!$C$36))</f>
        <v>-830000</v>
      </c>
      <c r="AF13" s="12" t="n">
        <f aca="false">-(AF7*(1-Varsayımlar!$C$33)+AF8*(1-Varsayımlar!$C$34)+AF9*(1-Varsayımlar!$C$35)+AF10*(1-Varsayımlar!$C$36))</f>
        <v>-830000</v>
      </c>
      <c r="AG13" s="12" t="n">
        <f aca="false">-(AG7*(1-Varsayımlar!$C$33)+AG8*(1-Varsayımlar!$C$34)+AG9*(1-Varsayımlar!$C$35)+AG10*(1-Varsayımlar!$C$36))</f>
        <v>-830000</v>
      </c>
      <c r="AH13" s="12" t="n">
        <f aca="false">-(AH7*(1-Varsayımlar!$C$33)+AH8*(1-Varsayımlar!$C$34)+AH9*(1-Varsayımlar!$C$35)+AH10*(1-Varsayımlar!$C$36))</f>
        <v>-830000</v>
      </c>
      <c r="AI13" s="12" t="n">
        <f aca="false">-(AI7*(1-Varsayımlar!$C$33)+AI8*(1-Varsayımlar!$C$34)+AI9*(1-Varsayımlar!$C$35)+AI10*(1-Varsayımlar!$C$36))</f>
        <v>-830000</v>
      </c>
      <c r="AJ13" s="12" t="n">
        <f aca="false">-(AJ7*(1-Varsayımlar!$C$33)+AJ8*(1-Varsayımlar!$C$34)+AJ9*(1-Varsayımlar!$C$35)+AJ10*(1-Varsayımlar!$C$36))</f>
        <v>-830000</v>
      </c>
      <c r="AK13" s="12" t="n">
        <f aca="false">-(AK7*(1-Varsayımlar!$C$33)+AK8*(1-Varsayımlar!$C$34)+AK9*(1-Varsayımlar!$C$35)+AK10*(1-Varsayımlar!$C$36))</f>
        <v>-830000</v>
      </c>
      <c r="AL13" s="21" t="n">
        <f aca="false">SUM(B13:AK13)</f>
        <v>-29880000</v>
      </c>
    </row>
    <row r="14" customFormat="false" ht="15" hidden="false" customHeight="false" outlineLevel="0" collapsed="false">
      <c r="A14" s="8" t="s">
        <v>271</v>
      </c>
      <c r="B14" s="21" t="n">
        <f aca="false">B11+B13</f>
        <v>820000</v>
      </c>
      <c r="C14" s="21" t="n">
        <f aca="false">C11+C13</f>
        <v>820000</v>
      </c>
      <c r="D14" s="21" t="n">
        <f aca="false">D11+D13</f>
        <v>820000</v>
      </c>
      <c r="E14" s="21" t="n">
        <f aca="false">E11+E13</f>
        <v>820000</v>
      </c>
      <c r="F14" s="21" t="n">
        <f aca="false">F11+F13</f>
        <v>820000</v>
      </c>
      <c r="G14" s="21" t="n">
        <f aca="false">G11+G13</f>
        <v>820000</v>
      </c>
      <c r="H14" s="21" t="n">
        <f aca="false">H11+H13</f>
        <v>820000</v>
      </c>
      <c r="I14" s="21" t="n">
        <f aca="false">I11+I13</f>
        <v>820000</v>
      </c>
      <c r="J14" s="21" t="n">
        <f aca="false">J11+J13</f>
        <v>820000</v>
      </c>
      <c r="K14" s="21" t="n">
        <f aca="false">K11+K13</f>
        <v>820000</v>
      </c>
      <c r="L14" s="21" t="n">
        <f aca="false">L11+L13</f>
        <v>820000</v>
      </c>
      <c r="M14" s="21" t="n">
        <f aca="false">M11+M13</f>
        <v>820000</v>
      </c>
      <c r="N14" s="21" t="n">
        <f aca="false">N11+N13</f>
        <v>820000</v>
      </c>
      <c r="O14" s="21" t="n">
        <f aca="false">O11+O13</f>
        <v>820000</v>
      </c>
      <c r="P14" s="21" t="n">
        <f aca="false">P11+P13</f>
        <v>820000</v>
      </c>
      <c r="Q14" s="21" t="n">
        <f aca="false">Q11+Q13</f>
        <v>820000</v>
      </c>
      <c r="R14" s="21" t="n">
        <f aca="false">R11+R13</f>
        <v>820000</v>
      </c>
      <c r="S14" s="21" t="n">
        <f aca="false">S11+S13</f>
        <v>820000</v>
      </c>
      <c r="T14" s="21" t="n">
        <f aca="false">T11+T13</f>
        <v>820000</v>
      </c>
      <c r="U14" s="21" t="n">
        <f aca="false">U11+U13</f>
        <v>820000</v>
      </c>
      <c r="V14" s="21" t="n">
        <f aca="false">V11+V13</f>
        <v>820000</v>
      </c>
      <c r="W14" s="21" t="n">
        <f aca="false">W11+W13</f>
        <v>820000</v>
      </c>
      <c r="X14" s="21" t="n">
        <f aca="false">X11+X13</f>
        <v>820000</v>
      </c>
      <c r="Y14" s="21" t="n">
        <f aca="false">Y11+Y13</f>
        <v>820000</v>
      </c>
      <c r="Z14" s="21" t="n">
        <f aca="false">Z11+Z13</f>
        <v>820000</v>
      </c>
      <c r="AA14" s="21" t="n">
        <f aca="false">AA11+AA13</f>
        <v>820000</v>
      </c>
      <c r="AB14" s="21" t="n">
        <f aca="false">AB11+AB13</f>
        <v>820000</v>
      </c>
      <c r="AC14" s="21" t="n">
        <f aca="false">AC11+AC13</f>
        <v>820000</v>
      </c>
      <c r="AD14" s="21" t="n">
        <f aca="false">AD11+AD13</f>
        <v>820000</v>
      </c>
      <c r="AE14" s="21" t="n">
        <f aca="false">AE11+AE13</f>
        <v>820000</v>
      </c>
      <c r="AF14" s="21" t="n">
        <f aca="false">AF11+AF13</f>
        <v>820000</v>
      </c>
      <c r="AG14" s="21" t="n">
        <f aca="false">AG11+AG13</f>
        <v>820000</v>
      </c>
      <c r="AH14" s="21" t="n">
        <f aca="false">AH11+AH13</f>
        <v>820000</v>
      </c>
      <c r="AI14" s="21" t="n">
        <f aca="false">AI11+AI13</f>
        <v>820000</v>
      </c>
      <c r="AJ14" s="21" t="n">
        <f aca="false">AJ11+AJ13</f>
        <v>820000</v>
      </c>
      <c r="AK14" s="21" t="n">
        <f aca="false">AK11+AK13</f>
        <v>820000</v>
      </c>
      <c r="AL14" s="21" t="n">
        <f aca="false">SUM(B14:AK14)</f>
        <v>29520000</v>
      </c>
    </row>
    <row r="15" customFormat="false" ht="15" hidden="false" customHeight="false" outlineLevel="0" collapsed="false">
      <c r="A15" s="5" t="s">
        <v>272</v>
      </c>
      <c r="B15" s="42" t="n">
        <f aca="false">IF(B11&gt;0,B14/B11,0)</f>
        <v>0.496969696969697</v>
      </c>
      <c r="C15" s="42" t="n">
        <f aca="false">IF(C11&gt;0,C14/C11,0)</f>
        <v>0.496969696969697</v>
      </c>
      <c r="D15" s="42" t="n">
        <f aca="false">IF(D11&gt;0,D14/D11,0)</f>
        <v>0.496969696969697</v>
      </c>
      <c r="E15" s="42" t="n">
        <f aca="false">IF(E11&gt;0,E14/E11,0)</f>
        <v>0.496969696969697</v>
      </c>
      <c r="F15" s="42" t="n">
        <f aca="false">IF(F11&gt;0,F14/F11,0)</f>
        <v>0.496969696969697</v>
      </c>
      <c r="G15" s="42" t="n">
        <f aca="false">IF(G11&gt;0,G14/G11,0)</f>
        <v>0.496969696969697</v>
      </c>
      <c r="H15" s="42" t="n">
        <f aca="false">IF(H11&gt;0,H14/H11,0)</f>
        <v>0.496969696969697</v>
      </c>
      <c r="I15" s="42" t="n">
        <f aca="false">IF(I11&gt;0,I14/I11,0)</f>
        <v>0.496969696969697</v>
      </c>
      <c r="J15" s="42" t="n">
        <f aca="false">IF(J11&gt;0,J14/J11,0)</f>
        <v>0.496969696969697</v>
      </c>
      <c r="K15" s="42" t="n">
        <f aca="false">IF(K11&gt;0,K14/K11,0)</f>
        <v>0.496969696969697</v>
      </c>
      <c r="L15" s="42" t="n">
        <f aca="false">IF(L11&gt;0,L14/L11,0)</f>
        <v>0.496969696969697</v>
      </c>
      <c r="M15" s="42" t="n">
        <f aca="false">IF(M11&gt;0,M14/M11,0)</f>
        <v>0.496969696969697</v>
      </c>
      <c r="N15" s="42" t="n">
        <f aca="false">IF(N11&gt;0,N14/N11,0)</f>
        <v>0.496969696969697</v>
      </c>
      <c r="O15" s="42" t="n">
        <f aca="false">IF(O11&gt;0,O14/O11,0)</f>
        <v>0.496969696969697</v>
      </c>
      <c r="P15" s="42" t="n">
        <f aca="false">IF(P11&gt;0,P14/P11,0)</f>
        <v>0.496969696969697</v>
      </c>
      <c r="Q15" s="42" t="n">
        <f aca="false">IF(Q11&gt;0,Q14/Q11,0)</f>
        <v>0.496969696969697</v>
      </c>
      <c r="R15" s="42" t="n">
        <f aca="false">IF(R11&gt;0,R14/R11,0)</f>
        <v>0.496969696969697</v>
      </c>
      <c r="S15" s="42" t="n">
        <f aca="false">IF(S11&gt;0,S14/S11,0)</f>
        <v>0.496969696969697</v>
      </c>
      <c r="T15" s="42" t="n">
        <f aca="false">IF(T11&gt;0,T14/T11,0)</f>
        <v>0.496969696969697</v>
      </c>
      <c r="U15" s="42" t="n">
        <f aca="false">IF(U11&gt;0,U14/U11,0)</f>
        <v>0.496969696969697</v>
      </c>
      <c r="V15" s="42" t="n">
        <f aca="false">IF(V11&gt;0,V14/V11,0)</f>
        <v>0.496969696969697</v>
      </c>
      <c r="W15" s="42" t="n">
        <f aca="false">IF(W11&gt;0,W14/W11,0)</f>
        <v>0.496969696969697</v>
      </c>
      <c r="X15" s="42" t="n">
        <f aca="false">IF(X11&gt;0,X14/X11,0)</f>
        <v>0.496969696969697</v>
      </c>
      <c r="Y15" s="42" t="n">
        <f aca="false">IF(Y11&gt;0,Y14/Y11,0)</f>
        <v>0.496969696969697</v>
      </c>
      <c r="Z15" s="42" t="n">
        <f aca="false">IF(Z11&gt;0,Z14/Z11,0)</f>
        <v>0.496969696969697</v>
      </c>
      <c r="AA15" s="42" t="n">
        <f aca="false">IF(AA11&gt;0,AA14/AA11,0)</f>
        <v>0.496969696969697</v>
      </c>
      <c r="AB15" s="42" t="n">
        <f aca="false">IF(AB11&gt;0,AB14/AB11,0)</f>
        <v>0.496969696969697</v>
      </c>
      <c r="AC15" s="42" t="n">
        <f aca="false">IF(AC11&gt;0,AC14/AC11,0)</f>
        <v>0.496969696969697</v>
      </c>
      <c r="AD15" s="42" t="n">
        <f aca="false">IF(AD11&gt;0,AD14/AD11,0)</f>
        <v>0.496969696969697</v>
      </c>
      <c r="AE15" s="42" t="n">
        <f aca="false">IF(AE11&gt;0,AE14/AE11,0)</f>
        <v>0.496969696969697</v>
      </c>
      <c r="AF15" s="42" t="n">
        <f aca="false">IF(AF11&gt;0,AF14/AF11,0)</f>
        <v>0.496969696969697</v>
      </c>
      <c r="AG15" s="42" t="n">
        <f aca="false">IF(AG11&gt;0,AG14/AG11,0)</f>
        <v>0.496969696969697</v>
      </c>
      <c r="AH15" s="42" t="n">
        <f aca="false">IF(AH11&gt;0,AH14/AH11,0)</f>
        <v>0.496969696969697</v>
      </c>
      <c r="AI15" s="42" t="n">
        <f aca="false">IF(AI11&gt;0,AI14/AI11,0)</f>
        <v>0.496969696969697</v>
      </c>
      <c r="AJ15" s="42" t="n">
        <f aca="false">IF(AJ11&gt;0,AJ14/AJ11,0)</f>
        <v>0.496969696969697</v>
      </c>
      <c r="AK15" s="42" t="n">
        <f aca="false">IF(AK11&gt;0,AK14/AK11,0)</f>
        <v>0.496969696969697</v>
      </c>
      <c r="AL15" s="24" t="n">
        <f aca="false">AVERAGE(B15:AK15)</f>
        <v>0.496969696969697</v>
      </c>
    </row>
    <row r="17" customFormat="false" ht="15" hidden="false" customHeight="false" outlineLevel="0" collapsed="false">
      <c r="A17" s="8" t="s">
        <v>273</v>
      </c>
    </row>
    <row r="18" customFormat="false" ht="15" hidden="false" customHeight="false" outlineLevel="0" collapsed="false">
      <c r="A18" s="5" t="s">
        <v>274</v>
      </c>
      <c r="B18" s="12" t="n">
        <f aca="false">-Varsayımlar!$B$14*(1+Varsayımlar!$B$11)^B$5</f>
        <v>-150000</v>
      </c>
      <c r="C18" s="12" t="n">
        <f aca="false">-Varsayımlar!$B$14*(1+Varsayımlar!$B$11)^C$5</f>
        <v>-150000</v>
      </c>
      <c r="D18" s="12" t="n">
        <f aca="false">-Varsayımlar!$B$14*(1+Varsayımlar!$B$11)^D$5</f>
        <v>-150000</v>
      </c>
      <c r="E18" s="12" t="n">
        <f aca="false">-Varsayımlar!$B$14*(1+Varsayımlar!$B$11)^E$5</f>
        <v>-150000</v>
      </c>
      <c r="F18" s="12" t="n">
        <f aca="false">-Varsayımlar!$B$14*(1+Varsayımlar!$B$11)^F$5</f>
        <v>-150000</v>
      </c>
      <c r="G18" s="12" t="n">
        <f aca="false">-Varsayımlar!$B$14*(1+Varsayımlar!$B$11)^G$5</f>
        <v>-150000</v>
      </c>
      <c r="H18" s="12" t="n">
        <f aca="false">-Varsayımlar!$B$14*(1+Varsayımlar!$B$11)^H$5</f>
        <v>-150000</v>
      </c>
      <c r="I18" s="12" t="n">
        <f aca="false">-Varsayımlar!$B$14*(1+Varsayımlar!$B$11)^I$5</f>
        <v>-150000</v>
      </c>
      <c r="J18" s="12" t="n">
        <f aca="false">-Varsayımlar!$B$14*(1+Varsayımlar!$B$11)^J$5</f>
        <v>-150000</v>
      </c>
      <c r="K18" s="12" t="n">
        <f aca="false">-Varsayımlar!$B$14*(1+Varsayımlar!$B$11)^K$5</f>
        <v>-150000</v>
      </c>
      <c r="L18" s="12" t="n">
        <f aca="false">-Varsayımlar!$B$14*(1+Varsayımlar!$B$11)^L$5</f>
        <v>-150000</v>
      </c>
      <c r="M18" s="12" t="n">
        <f aca="false">-Varsayımlar!$B$14*(1+Varsayımlar!$B$11)^M$5</f>
        <v>-150000</v>
      </c>
      <c r="N18" s="12" t="n">
        <f aca="false">-Varsayımlar!$B$14*(1+Varsayımlar!$B$11)^N$5</f>
        <v>-150000</v>
      </c>
      <c r="O18" s="12" t="n">
        <f aca="false">-Varsayımlar!$B$14*(1+Varsayımlar!$B$11)^O$5</f>
        <v>-150000</v>
      </c>
      <c r="P18" s="12" t="n">
        <f aca="false">-Varsayımlar!$B$14*(1+Varsayımlar!$B$11)^P$5</f>
        <v>-150000</v>
      </c>
      <c r="Q18" s="12" t="n">
        <f aca="false">-Varsayımlar!$B$14*(1+Varsayımlar!$B$11)^Q$5</f>
        <v>-150000</v>
      </c>
      <c r="R18" s="12" t="n">
        <f aca="false">-Varsayımlar!$B$14*(1+Varsayımlar!$B$11)^R$5</f>
        <v>-150000</v>
      </c>
      <c r="S18" s="12" t="n">
        <f aca="false">-Varsayımlar!$B$14*(1+Varsayımlar!$B$11)^S$5</f>
        <v>-150000</v>
      </c>
      <c r="T18" s="12" t="n">
        <f aca="false">-Varsayımlar!$B$14*(1+Varsayımlar!$B$11)^T$5</f>
        <v>-150000</v>
      </c>
      <c r="U18" s="12" t="n">
        <f aca="false">-Varsayımlar!$B$14*(1+Varsayımlar!$B$11)^U$5</f>
        <v>-150000</v>
      </c>
      <c r="V18" s="12" t="n">
        <f aca="false">-Varsayımlar!$B$14*(1+Varsayımlar!$B$11)^V$5</f>
        <v>-150000</v>
      </c>
      <c r="W18" s="12" t="n">
        <f aca="false">-Varsayımlar!$B$14*(1+Varsayımlar!$B$11)^W$5</f>
        <v>-150000</v>
      </c>
      <c r="X18" s="12" t="n">
        <f aca="false">-Varsayımlar!$B$14*(1+Varsayımlar!$B$11)^X$5</f>
        <v>-150000</v>
      </c>
      <c r="Y18" s="12" t="n">
        <f aca="false">-Varsayımlar!$B$14*(1+Varsayımlar!$B$11)^Y$5</f>
        <v>-150000</v>
      </c>
      <c r="Z18" s="12" t="n">
        <f aca="false">-Varsayımlar!$B$14*(1+Varsayımlar!$B$11)^Z$5</f>
        <v>-150000</v>
      </c>
      <c r="AA18" s="12" t="n">
        <f aca="false">-Varsayımlar!$B$14*(1+Varsayımlar!$B$11)^AA$5</f>
        <v>-150000</v>
      </c>
      <c r="AB18" s="12" t="n">
        <f aca="false">-Varsayımlar!$B$14*(1+Varsayımlar!$B$11)^AB$5</f>
        <v>-150000</v>
      </c>
      <c r="AC18" s="12" t="n">
        <f aca="false">-Varsayımlar!$B$14*(1+Varsayımlar!$B$11)^AC$5</f>
        <v>-150000</v>
      </c>
      <c r="AD18" s="12" t="n">
        <f aca="false">-Varsayımlar!$B$14*(1+Varsayımlar!$B$11)^AD$5</f>
        <v>-150000</v>
      </c>
      <c r="AE18" s="12" t="n">
        <f aca="false">-Varsayımlar!$B$14*(1+Varsayımlar!$B$11)^AE$5</f>
        <v>-150000</v>
      </c>
      <c r="AF18" s="12" t="n">
        <f aca="false">-Varsayımlar!$B$14*(1+Varsayımlar!$B$11)^AF$5</f>
        <v>-150000</v>
      </c>
      <c r="AG18" s="12" t="n">
        <f aca="false">-Varsayımlar!$B$14*(1+Varsayımlar!$B$11)^AG$5</f>
        <v>-150000</v>
      </c>
      <c r="AH18" s="12" t="n">
        <f aca="false">-Varsayımlar!$B$14*(1+Varsayımlar!$B$11)^AH$5</f>
        <v>-150000</v>
      </c>
      <c r="AI18" s="12" t="n">
        <f aca="false">-Varsayımlar!$B$14*(1+Varsayımlar!$B$11)^AI$5</f>
        <v>-150000</v>
      </c>
      <c r="AJ18" s="12" t="n">
        <f aca="false">-Varsayımlar!$B$14*(1+Varsayımlar!$B$11)^AJ$5</f>
        <v>-150000</v>
      </c>
      <c r="AK18" s="12" t="n">
        <f aca="false">-Varsayımlar!$B$14*(1+Varsayımlar!$B$11)^AK$5</f>
        <v>-150000</v>
      </c>
      <c r="AL18" s="21" t="n">
        <f aca="false">SUM(B18:AK18)</f>
        <v>-5400000</v>
      </c>
    </row>
    <row r="19" customFormat="false" ht="15" hidden="false" customHeight="false" outlineLevel="0" collapsed="false">
      <c r="A19" s="5" t="s">
        <v>275</v>
      </c>
      <c r="B19" s="12" t="n">
        <f aca="false">-Varsayımlar!$B$15*(1+Varsayımlar!$B$11)^B$5</f>
        <v>-7000</v>
      </c>
      <c r="C19" s="12" t="n">
        <f aca="false">-Varsayımlar!$B$15*(1+Varsayımlar!$B$11)^C$5</f>
        <v>-7000</v>
      </c>
      <c r="D19" s="12" t="n">
        <f aca="false">-Varsayımlar!$B$15*(1+Varsayımlar!$B$11)^D$5</f>
        <v>-7000</v>
      </c>
      <c r="E19" s="12" t="n">
        <f aca="false">-Varsayımlar!$B$15*(1+Varsayımlar!$B$11)^E$5</f>
        <v>-7000</v>
      </c>
      <c r="F19" s="12" t="n">
        <f aca="false">-Varsayımlar!$B$15*(1+Varsayımlar!$B$11)^F$5</f>
        <v>-7000</v>
      </c>
      <c r="G19" s="12" t="n">
        <f aca="false">-Varsayımlar!$B$15*(1+Varsayımlar!$B$11)^G$5</f>
        <v>-7000</v>
      </c>
      <c r="H19" s="12" t="n">
        <f aca="false">-Varsayımlar!$B$15*(1+Varsayımlar!$B$11)^H$5</f>
        <v>-7000</v>
      </c>
      <c r="I19" s="12" t="n">
        <f aca="false">-Varsayımlar!$B$15*(1+Varsayımlar!$B$11)^I$5</f>
        <v>-7000</v>
      </c>
      <c r="J19" s="12" t="n">
        <f aca="false">-Varsayımlar!$B$15*(1+Varsayımlar!$B$11)^J$5</f>
        <v>-7000</v>
      </c>
      <c r="K19" s="12" t="n">
        <f aca="false">-Varsayımlar!$B$15*(1+Varsayımlar!$B$11)^K$5</f>
        <v>-7000</v>
      </c>
      <c r="L19" s="12" t="n">
        <f aca="false">-Varsayımlar!$B$15*(1+Varsayımlar!$B$11)^L$5</f>
        <v>-7000</v>
      </c>
      <c r="M19" s="12" t="n">
        <f aca="false">-Varsayımlar!$B$15*(1+Varsayımlar!$B$11)^M$5</f>
        <v>-7000</v>
      </c>
      <c r="N19" s="12" t="n">
        <f aca="false">-Varsayımlar!$B$15*(1+Varsayımlar!$B$11)^N$5</f>
        <v>-7000</v>
      </c>
      <c r="O19" s="12" t="n">
        <f aca="false">-Varsayımlar!$B$15*(1+Varsayımlar!$B$11)^O$5</f>
        <v>-7000</v>
      </c>
      <c r="P19" s="12" t="n">
        <f aca="false">-Varsayımlar!$B$15*(1+Varsayımlar!$B$11)^P$5</f>
        <v>-7000</v>
      </c>
      <c r="Q19" s="12" t="n">
        <f aca="false">-Varsayımlar!$B$15*(1+Varsayımlar!$B$11)^Q$5</f>
        <v>-7000</v>
      </c>
      <c r="R19" s="12" t="n">
        <f aca="false">-Varsayımlar!$B$15*(1+Varsayımlar!$B$11)^R$5</f>
        <v>-7000</v>
      </c>
      <c r="S19" s="12" t="n">
        <f aca="false">-Varsayımlar!$B$15*(1+Varsayımlar!$B$11)^S$5</f>
        <v>-7000</v>
      </c>
      <c r="T19" s="12" t="n">
        <f aca="false">-Varsayımlar!$B$15*(1+Varsayımlar!$B$11)^T$5</f>
        <v>-7000</v>
      </c>
      <c r="U19" s="12" t="n">
        <f aca="false">-Varsayımlar!$B$15*(1+Varsayımlar!$B$11)^U$5</f>
        <v>-7000</v>
      </c>
      <c r="V19" s="12" t="n">
        <f aca="false">-Varsayımlar!$B$15*(1+Varsayımlar!$B$11)^V$5</f>
        <v>-7000</v>
      </c>
      <c r="W19" s="12" t="n">
        <f aca="false">-Varsayımlar!$B$15*(1+Varsayımlar!$B$11)^W$5</f>
        <v>-7000</v>
      </c>
      <c r="X19" s="12" t="n">
        <f aca="false">-Varsayımlar!$B$15*(1+Varsayımlar!$B$11)^X$5</f>
        <v>-7000</v>
      </c>
      <c r="Y19" s="12" t="n">
        <f aca="false">-Varsayımlar!$B$15*(1+Varsayımlar!$B$11)^Y$5</f>
        <v>-7000</v>
      </c>
      <c r="Z19" s="12" t="n">
        <f aca="false">-Varsayımlar!$B$15*(1+Varsayımlar!$B$11)^Z$5</f>
        <v>-7000</v>
      </c>
      <c r="AA19" s="12" t="n">
        <f aca="false">-Varsayımlar!$B$15*(1+Varsayımlar!$B$11)^AA$5</f>
        <v>-7000</v>
      </c>
      <c r="AB19" s="12" t="n">
        <f aca="false">-Varsayımlar!$B$15*(1+Varsayımlar!$B$11)^AB$5</f>
        <v>-7000</v>
      </c>
      <c r="AC19" s="12" t="n">
        <f aca="false">-Varsayımlar!$B$15*(1+Varsayımlar!$B$11)^AC$5</f>
        <v>-7000</v>
      </c>
      <c r="AD19" s="12" t="n">
        <f aca="false">-Varsayımlar!$B$15*(1+Varsayımlar!$B$11)^AD$5</f>
        <v>-7000</v>
      </c>
      <c r="AE19" s="12" t="n">
        <f aca="false">-Varsayımlar!$B$15*(1+Varsayımlar!$B$11)^AE$5</f>
        <v>-7000</v>
      </c>
      <c r="AF19" s="12" t="n">
        <f aca="false">-Varsayımlar!$B$15*(1+Varsayımlar!$B$11)^AF$5</f>
        <v>-7000</v>
      </c>
      <c r="AG19" s="12" t="n">
        <f aca="false">-Varsayımlar!$B$15*(1+Varsayımlar!$B$11)^AG$5</f>
        <v>-7000</v>
      </c>
      <c r="AH19" s="12" t="n">
        <f aca="false">-Varsayımlar!$B$15*(1+Varsayımlar!$B$11)^AH$5</f>
        <v>-7000</v>
      </c>
      <c r="AI19" s="12" t="n">
        <f aca="false">-Varsayımlar!$B$15*(1+Varsayımlar!$B$11)^AI$5</f>
        <v>-7000</v>
      </c>
      <c r="AJ19" s="12" t="n">
        <f aca="false">-Varsayımlar!$B$15*(1+Varsayımlar!$B$11)^AJ$5</f>
        <v>-7000</v>
      </c>
      <c r="AK19" s="12" t="n">
        <f aca="false">-Varsayımlar!$B$15*(1+Varsayımlar!$B$11)^AK$5</f>
        <v>-7000</v>
      </c>
      <c r="AL19" s="21" t="n">
        <f aca="false">SUM(B19:AK19)</f>
        <v>-252000</v>
      </c>
    </row>
    <row r="20" customFormat="false" ht="15" hidden="false" customHeight="false" outlineLevel="0" collapsed="false">
      <c r="A20" s="5" t="s">
        <v>276</v>
      </c>
      <c r="B20" s="12" t="n">
        <f aca="false">-Varsayımlar!$B$16*(1+Varsayımlar!$B$11)^B$5</f>
        <v>-110000</v>
      </c>
      <c r="C20" s="12" t="n">
        <f aca="false">-Varsayımlar!$B$16*(1+Varsayımlar!$B$11)^C$5</f>
        <v>-110000</v>
      </c>
      <c r="D20" s="12" t="n">
        <f aca="false">-Varsayımlar!$B$16*(1+Varsayımlar!$B$11)^D$5</f>
        <v>-110000</v>
      </c>
      <c r="E20" s="12" t="n">
        <f aca="false">-Varsayımlar!$B$16*(1+Varsayımlar!$B$11)^E$5</f>
        <v>-110000</v>
      </c>
      <c r="F20" s="12" t="n">
        <f aca="false">-Varsayımlar!$B$16*(1+Varsayımlar!$B$11)^F$5</f>
        <v>-110000</v>
      </c>
      <c r="G20" s="12" t="n">
        <f aca="false">-Varsayımlar!$B$16*(1+Varsayımlar!$B$11)^G$5</f>
        <v>-110000</v>
      </c>
      <c r="H20" s="12" t="n">
        <f aca="false">-Varsayımlar!$B$16*(1+Varsayımlar!$B$11)^H$5</f>
        <v>-110000</v>
      </c>
      <c r="I20" s="12" t="n">
        <f aca="false">-Varsayımlar!$B$16*(1+Varsayımlar!$B$11)^I$5</f>
        <v>-110000</v>
      </c>
      <c r="J20" s="12" t="n">
        <f aca="false">-Varsayımlar!$B$16*(1+Varsayımlar!$B$11)^J$5</f>
        <v>-110000</v>
      </c>
      <c r="K20" s="12" t="n">
        <f aca="false">-Varsayımlar!$B$16*(1+Varsayımlar!$B$11)^K$5</f>
        <v>-110000</v>
      </c>
      <c r="L20" s="12" t="n">
        <f aca="false">-Varsayımlar!$B$16*(1+Varsayımlar!$B$11)^L$5</f>
        <v>-110000</v>
      </c>
      <c r="M20" s="12" t="n">
        <f aca="false">-Varsayımlar!$B$16*(1+Varsayımlar!$B$11)^M$5</f>
        <v>-110000</v>
      </c>
      <c r="N20" s="12" t="n">
        <f aca="false">-Varsayımlar!$B$16*(1+Varsayımlar!$B$11)^N$5</f>
        <v>-110000</v>
      </c>
      <c r="O20" s="12" t="n">
        <f aca="false">-Varsayımlar!$B$16*(1+Varsayımlar!$B$11)^O$5</f>
        <v>-110000</v>
      </c>
      <c r="P20" s="12" t="n">
        <f aca="false">-Varsayımlar!$B$16*(1+Varsayımlar!$B$11)^P$5</f>
        <v>-110000</v>
      </c>
      <c r="Q20" s="12" t="n">
        <f aca="false">-Varsayımlar!$B$16*(1+Varsayımlar!$B$11)^Q$5</f>
        <v>-110000</v>
      </c>
      <c r="R20" s="12" t="n">
        <f aca="false">-Varsayımlar!$B$16*(1+Varsayımlar!$B$11)^R$5</f>
        <v>-110000</v>
      </c>
      <c r="S20" s="12" t="n">
        <f aca="false">-Varsayımlar!$B$16*(1+Varsayımlar!$B$11)^S$5</f>
        <v>-110000</v>
      </c>
      <c r="T20" s="12" t="n">
        <f aca="false">-Varsayımlar!$B$16*(1+Varsayımlar!$B$11)^T$5</f>
        <v>-110000</v>
      </c>
      <c r="U20" s="12" t="n">
        <f aca="false">-Varsayımlar!$B$16*(1+Varsayımlar!$B$11)^U$5</f>
        <v>-110000</v>
      </c>
      <c r="V20" s="12" t="n">
        <f aca="false">-Varsayımlar!$B$16*(1+Varsayımlar!$B$11)^V$5</f>
        <v>-110000</v>
      </c>
      <c r="W20" s="12" t="n">
        <f aca="false">-Varsayımlar!$B$16*(1+Varsayımlar!$B$11)^W$5</f>
        <v>-110000</v>
      </c>
      <c r="X20" s="12" t="n">
        <f aca="false">-Varsayımlar!$B$16*(1+Varsayımlar!$B$11)^X$5</f>
        <v>-110000</v>
      </c>
      <c r="Y20" s="12" t="n">
        <f aca="false">-Varsayımlar!$B$16*(1+Varsayımlar!$B$11)^Y$5</f>
        <v>-110000</v>
      </c>
      <c r="Z20" s="12" t="n">
        <f aca="false">-Varsayımlar!$B$16*(1+Varsayımlar!$B$11)^Z$5</f>
        <v>-110000</v>
      </c>
      <c r="AA20" s="12" t="n">
        <f aca="false">-Varsayımlar!$B$16*(1+Varsayımlar!$B$11)^AA$5</f>
        <v>-110000</v>
      </c>
      <c r="AB20" s="12" t="n">
        <f aca="false">-Varsayımlar!$B$16*(1+Varsayımlar!$B$11)^AB$5</f>
        <v>-110000</v>
      </c>
      <c r="AC20" s="12" t="n">
        <f aca="false">-Varsayımlar!$B$16*(1+Varsayımlar!$B$11)^AC$5</f>
        <v>-110000</v>
      </c>
      <c r="AD20" s="12" t="n">
        <f aca="false">-Varsayımlar!$B$16*(1+Varsayımlar!$B$11)^AD$5</f>
        <v>-110000</v>
      </c>
      <c r="AE20" s="12" t="n">
        <f aca="false">-Varsayımlar!$B$16*(1+Varsayımlar!$B$11)^AE$5</f>
        <v>-110000</v>
      </c>
      <c r="AF20" s="12" t="n">
        <f aca="false">-Varsayımlar!$B$16*(1+Varsayımlar!$B$11)^AF$5</f>
        <v>-110000</v>
      </c>
      <c r="AG20" s="12" t="n">
        <f aca="false">-Varsayımlar!$B$16*(1+Varsayımlar!$B$11)^AG$5</f>
        <v>-110000</v>
      </c>
      <c r="AH20" s="12" t="n">
        <f aca="false">-Varsayımlar!$B$16*(1+Varsayımlar!$B$11)^AH$5</f>
        <v>-110000</v>
      </c>
      <c r="AI20" s="12" t="n">
        <f aca="false">-Varsayımlar!$B$16*(1+Varsayımlar!$B$11)^AI$5</f>
        <v>-110000</v>
      </c>
      <c r="AJ20" s="12" t="n">
        <f aca="false">-Varsayımlar!$B$16*(1+Varsayımlar!$B$11)^AJ$5</f>
        <v>-110000</v>
      </c>
      <c r="AK20" s="12" t="n">
        <f aca="false">-Varsayımlar!$B$16*(1+Varsayımlar!$B$11)^AK$5</f>
        <v>-110000</v>
      </c>
      <c r="AL20" s="21" t="n">
        <f aca="false">SUM(B20:AK20)</f>
        <v>-3960000</v>
      </c>
    </row>
    <row r="21" customFormat="false" ht="15" hidden="false" customHeight="false" outlineLevel="0" collapsed="false">
      <c r="A21" s="5" t="s">
        <v>277</v>
      </c>
      <c r="B21" s="12" t="n">
        <f aca="false">-Varsayımlar!$B$17*(1+Varsayımlar!$B$11)^B$5</f>
        <v>-30000</v>
      </c>
      <c r="C21" s="12" t="n">
        <f aca="false">-Varsayımlar!$B$17*(1+Varsayımlar!$B$11)^C$5</f>
        <v>-30000</v>
      </c>
      <c r="D21" s="12" t="n">
        <f aca="false">-Varsayımlar!$B$17*(1+Varsayımlar!$B$11)^D$5</f>
        <v>-30000</v>
      </c>
      <c r="E21" s="12" t="n">
        <f aca="false">-Varsayımlar!$B$17*(1+Varsayımlar!$B$11)^E$5</f>
        <v>-30000</v>
      </c>
      <c r="F21" s="12" t="n">
        <f aca="false">-Varsayımlar!$B$17*(1+Varsayımlar!$B$11)^F$5</f>
        <v>-30000</v>
      </c>
      <c r="G21" s="12" t="n">
        <f aca="false">-Varsayımlar!$B$17*(1+Varsayımlar!$B$11)^G$5</f>
        <v>-30000</v>
      </c>
      <c r="H21" s="12" t="n">
        <f aca="false">-Varsayımlar!$B$17*(1+Varsayımlar!$B$11)^H$5</f>
        <v>-30000</v>
      </c>
      <c r="I21" s="12" t="n">
        <f aca="false">-Varsayımlar!$B$17*(1+Varsayımlar!$B$11)^I$5</f>
        <v>-30000</v>
      </c>
      <c r="J21" s="12" t="n">
        <f aca="false">-Varsayımlar!$B$17*(1+Varsayımlar!$B$11)^J$5</f>
        <v>-30000</v>
      </c>
      <c r="K21" s="12" t="n">
        <f aca="false">-Varsayımlar!$B$17*(1+Varsayımlar!$B$11)^K$5</f>
        <v>-30000</v>
      </c>
      <c r="L21" s="12" t="n">
        <f aca="false">-Varsayımlar!$B$17*(1+Varsayımlar!$B$11)^L$5</f>
        <v>-30000</v>
      </c>
      <c r="M21" s="12" t="n">
        <f aca="false">-Varsayımlar!$B$17*(1+Varsayımlar!$B$11)^M$5</f>
        <v>-30000</v>
      </c>
      <c r="N21" s="12" t="n">
        <f aca="false">-Varsayımlar!$B$17*(1+Varsayımlar!$B$11)^N$5</f>
        <v>-30000</v>
      </c>
      <c r="O21" s="12" t="n">
        <f aca="false">-Varsayımlar!$B$17*(1+Varsayımlar!$B$11)^O$5</f>
        <v>-30000</v>
      </c>
      <c r="P21" s="12" t="n">
        <f aca="false">-Varsayımlar!$B$17*(1+Varsayımlar!$B$11)^P$5</f>
        <v>-30000</v>
      </c>
      <c r="Q21" s="12" t="n">
        <f aca="false">-Varsayımlar!$B$17*(1+Varsayımlar!$B$11)^Q$5</f>
        <v>-30000</v>
      </c>
      <c r="R21" s="12" t="n">
        <f aca="false">-Varsayımlar!$B$17*(1+Varsayımlar!$B$11)^R$5</f>
        <v>-30000</v>
      </c>
      <c r="S21" s="12" t="n">
        <f aca="false">-Varsayımlar!$B$17*(1+Varsayımlar!$B$11)^S$5</f>
        <v>-30000</v>
      </c>
      <c r="T21" s="12" t="n">
        <f aca="false">-Varsayımlar!$B$17*(1+Varsayımlar!$B$11)^T$5</f>
        <v>-30000</v>
      </c>
      <c r="U21" s="12" t="n">
        <f aca="false">-Varsayımlar!$B$17*(1+Varsayımlar!$B$11)^U$5</f>
        <v>-30000</v>
      </c>
      <c r="V21" s="12" t="n">
        <f aca="false">-Varsayımlar!$B$17*(1+Varsayımlar!$B$11)^V$5</f>
        <v>-30000</v>
      </c>
      <c r="W21" s="12" t="n">
        <f aca="false">-Varsayımlar!$B$17*(1+Varsayımlar!$B$11)^W$5</f>
        <v>-30000</v>
      </c>
      <c r="X21" s="12" t="n">
        <f aca="false">-Varsayımlar!$B$17*(1+Varsayımlar!$B$11)^X$5</f>
        <v>-30000</v>
      </c>
      <c r="Y21" s="12" t="n">
        <f aca="false">-Varsayımlar!$B$17*(1+Varsayımlar!$B$11)^Y$5</f>
        <v>-30000</v>
      </c>
      <c r="Z21" s="12" t="n">
        <f aca="false">-Varsayımlar!$B$17*(1+Varsayımlar!$B$11)^Z$5</f>
        <v>-30000</v>
      </c>
      <c r="AA21" s="12" t="n">
        <f aca="false">-Varsayımlar!$B$17*(1+Varsayımlar!$B$11)^AA$5</f>
        <v>-30000</v>
      </c>
      <c r="AB21" s="12" t="n">
        <f aca="false">-Varsayımlar!$B$17*(1+Varsayımlar!$B$11)^AB$5</f>
        <v>-30000</v>
      </c>
      <c r="AC21" s="12" t="n">
        <f aca="false">-Varsayımlar!$B$17*(1+Varsayımlar!$B$11)^AC$5</f>
        <v>-30000</v>
      </c>
      <c r="AD21" s="12" t="n">
        <f aca="false">-Varsayımlar!$B$17*(1+Varsayımlar!$B$11)^AD$5</f>
        <v>-30000</v>
      </c>
      <c r="AE21" s="12" t="n">
        <f aca="false">-Varsayımlar!$B$17*(1+Varsayımlar!$B$11)^AE$5</f>
        <v>-30000</v>
      </c>
      <c r="AF21" s="12" t="n">
        <f aca="false">-Varsayımlar!$B$17*(1+Varsayımlar!$B$11)^AF$5</f>
        <v>-30000</v>
      </c>
      <c r="AG21" s="12" t="n">
        <f aca="false">-Varsayımlar!$B$17*(1+Varsayımlar!$B$11)^AG$5</f>
        <v>-30000</v>
      </c>
      <c r="AH21" s="12" t="n">
        <f aca="false">-Varsayımlar!$B$17*(1+Varsayımlar!$B$11)^AH$5</f>
        <v>-30000</v>
      </c>
      <c r="AI21" s="12" t="n">
        <f aca="false">-Varsayımlar!$B$17*(1+Varsayımlar!$B$11)^AI$5</f>
        <v>-30000</v>
      </c>
      <c r="AJ21" s="12" t="n">
        <f aca="false">-Varsayımlar!$B$17*(1+Varsayımlar!$B$11)^AJ$5</f>
        <v>-30000</v>
      </c>
      <c r="AK21" s="12" t="n">
        <f aca="false">-Varsayımlar!$B$17*(1+Varsayımlar!$B$11)^AK$5</f>
        <v>-30000</v>
      </c>
      <c r="AL21" s="21" t="n">
        <f aca="false">SUM(B21:AK21)</f>
        <v>-1080000</v>
      </c>
    </row>
    <row r="22" customFormat="false" ht="15" hidden="false" customHeight="false" outlineLevel="0" collapsed="false">
      <c r="A22" s="5" t="s">
        <v>278</v>
      </c>
      <c r="B22" s="12" t="n">
        <f aca="false">-Varsayımlar!$B$18*(1+Varsayımlar!$B$11)^B$5</f>
        <v>-20000</v>
      </c>
      <c r="C22" s="12" t="n">
        <f aca="false">-Varsayımlar!$B$18*(1+Varsayımlar!$B$11)^C$5</f>
        <v>-20000</v>
      </c>
      <c r="D22" s="12" t="n">
        <f aca="false">-Varsayımlar!$B$18*(1+Varsayımlar!$B$11)^D$5</f>
        <v>-20000</v>
      </c>
      <c r="E22" s="12" t="n">
        <f aca="false">-Varsayımlar!$B$18*(1+Varsayımlar!$B$11)^E$5</f>
        <v>-20000</v>
      </c>
      <c r="F22" s="12" t="n">
        <f aca="false">-Varsayımlar!$B$18*(1+Varsayımlar!$B$11)^F$5</f>
        <v>-20000</v>
      </c>
      <c r="G22" s="12" t="n">
        <f aca="false">-Varsayımlar!$B$18*(1+Varsayımlar!$B$11)^G$5</f>
        <v>-20000</v>
      </c>
      <c r="H22" s="12" t="n">
        <f aca="false">-Varsayımlar!$B$18*(1+Varsayımlar!$B$11)^H$5</f>
        <v>-20000</v>
      </c>
      <c r="I22" s="12" t="n">
        <f aca="false">-Varsayımlar!$B$18*(1+Varsayımlar!$B$11)^I$5</f>
        <v>-20000</v>
      </c>
      <c r="J22" s="12" t="n">
        <f aca="false">-Varsayımlar!$B$18*(1+Varsayımlar!$B$11)^J$5</f>
        <v>-20000</v>
      </c>
      <c r="K22" s="12" t="n">
        <f aca="false">-Varsayımlar!$B$18*(1+Varsayımlar!$B$11)^K$5</f>
        <v>-20000</v>
      </c>
      <c r="L22" s="12" t="n">
        <f aca="false">-Varsayımlar!$B$18*(1+Varsayımlar!$B$11)^L$5</f>
        <v>-20000</v>
      </c>
      <c r="M22" s="12" t="n">
        <f aca="false">-Varsayımlar!$B$18*(1+Varsayımlar!$B$11)^M$5</f>
        <v>-20000</v>
      </c>
      <c r="N22" s="12" t="n">
        <f aca="false">-Varsayımlar!$B$18*(1+Varsayımlar!$B$11)^N$5</f>
        <v>-20000</v>
      </c>
      <c r="O22" s="12" t="n">
        <f aca="false">-Varsayımlar!$B$18*(1+Varsayımlar!$B$11)^O$5</f>
        <v>-20000</v>
      </c>
      <c r="P22" s="12" t="n">
        <f aca="false">-Varsayımlar!$B$18*(1+Varsayımlar!$B$11)^P$5</f>
        <v>-20000</v>
      </c>
      <c r="Q22" s="12" t="n">
        <f aca="false">-Varsayımlar!$B$18*(1+Varsayımlar!$B$11)^Q$5</f>
        <v>-20000</v>
      </c>
      <c r="R22" s="12" t="n">
        <f aca="false">-Varsayımlar!$B$18*(1+Varsayımlar!$B$11)^R$5</f>
        <v>-20000</v>
      </c>
      <c r="S22" s="12" t="n">
        <f aca="false">-Varsayımlar!$B$18*(1+Varsayımlar!$B$11)^S$5</f>
        <v>-20000</v>
      </c>
      <c r="T22" s="12" t="n">
        <f aca="false">-Varsayımlar!$B$18*(1+Varsayımlar!$B$11)^T$5</f>
        <v>-20000</v>
      </c>
      <c r="U22" s="12" t="n">
        <f aca="false">-Varsayımlar!$B$18*(1+Varsayımlar!$B$11)^U$5</f>
        <v>-20000</v>
      </c>
      <c r="V22" s="12" t="n">
        <f aca="false">-Varsayımlar!$B$18*(1+Varsayımlar!$B$11)^V$5</f>
        <v>-20000</v>
      </c>
      <c r="W22" s="12" t="n">
        <f aca="false">-Varsayımlar!$B$18*(1+Varsayımlar!$B$11)^W$5</f>
        <v>-20000</v>
      </c>
      <c r="X22" s="12" t="n">
        <f aca="false">-Varsayımlar!$B$18*(1+Varsayımlar!$B$11)^X$5</f>
        <v>-20000</v>
      </c>
      <c r="Y22" s="12" t="n">
        <f aca="false">-Varsayımlar!$B$18*(1+Varsayımlar!$B$11)^Y$5</f>
        <v>-20000</v>
      </c>
      <c r="Z22" s="12" t="n">
        <f aca="false">-Varsayımlar!$B$18*(1+Varsayımlar!$B$11)^Z$5</f>
        <v>-20000</v>
      </c>
      <c r="AA22" s="12" t="n">
        <f aca="false">-Varsayımlar!$B$18*(1+Varsayımlar!$B$11)^AA$5</f>
        <v>-20000</v>
      </c>
      <c r="AB22" s="12" t="n">
        <f aca="false">-Varsayımlar!$B$18*(1+Varsayımlar!$B$11)^AB$5</f>
        <v>-20000</v>
      </c>
      <c r="AC22" s="12" t="n">
        <f aca="false">-Varsayımlar!$B$18*(1+Varsayımlar!$B$11)^AC$5</f>
        <v>-20000</v>
      </c>
      <c r="AD22" s="12" t="n">
        <f aca="false">-Varsayımlar!$B$18*(1+Varsayımlar!$B$11)^AD$5</f>
        <v>-20000</v>
      </c>
      <c r="AE22" s="12" t="n">
        <f aca="false">-Varsayımlar!$B$18*(1+Varsayımlar!$B$11)^AE$5</f>
        <v>-20000</v>
      </c>
      <c r="AF22" s="12" t="n">
        <f aca="false">-Varsayımlar!$B$18*(1+Varsayımlar!$B$11)^AF$5</f>
        <v>-20000</v>
      </c>
      <c r="AG22" s="12" t="n">
        <f aca="false">-Varsayımlar!$B$18*(1+Varsayımlar!$B$11)^AG$5</f>
        <v>-20000</v>
      </c>
      <c r="AH22" s="12" t="n">
        <f aca="false">-Varsayımlar!$B$18*(1+Varsayımlar!$B$11)^AH$5</f>
        <v>-20000</v>
      </c>
      <c r="AI22" s="12" t="n">
        <f aca="false">-Varsayımlar!$B$18*(1+Varsayımlar!$B$11)^AI$5</f>
        <v>-20000</v>
      </c>
      <c r="AJ22" s="12" t="n">
        <f aca="false">-Varsayımlar!$B$18*(1+Varsayımlar!$B$11)^AJ$5</f>
        <v>-20000</v>
      </c>
      <c r="AK22" s="12" t="n">
        <f aca="false">-Varsayımlar!$B$18*(1+Varsayımlar!$B$11)^AK$5</f>
        <v>-20000</v>
      </c>
      <c r="AL22" s="21" t="n">
        <f aca="false">SUM(B22:AK22)</f>
        <v>-720000</v>
      </c>
    </row>
    <row r="23" customFormat="false" ht="15" hidden="false" customHeight="false" outlineLevel="0" collapsed="false">
      <c r="A23" s="5" t="s">
        <v>279</v>
      </c>
      <c r="B23" s="12" t="n">
        <f aca="false">-Varsayımlar!$B$19*(1+Varsayımlar!$B$11)^B$5</f>
        <v>-15000</v>
      </c>
      <c r="C23" s="12" t="n">
        <f aca="false">-Varsayımlar!$B$19*(1+Varsayımlar!$B$11)^C$5</f>
        <v>-15000</v>
      </c>
      <c r="D23" s="12" t="n">
        <f aca="false">-Varsayımlar!$B$19*(1+Varsayımlar!$B$11)^D$5</f>
        <v>-15000</v>
      </c>
      <c r="E23" s="12" t="n">
        <f aca="false">-Varsayımlar!$B$19*(1+Varsayımlar!$B$11)^E$5</f>
        <v>-15000</v>
      </c>
      <c r="F23" s="12" t="n">
        <f aca="false">-Varsayımlar!$B$19*(1+Varsayımlar!$B$11)^F$5</f>
        <v>-15000</v>
      </c>
      <c r="G23" s="12" t="n">
        <f aca="false">-Varsayımlar!$B$19*(1+Varsayımlar!$B$11)^G$5</f>
        <v>-15000</v>
      </c>
      <c r="H23" s="12" t="n">
        <f aca="false">-Varsayımlar!$B$19*(1+Varsayımlar!$B$11)^H$5</f>
        <v>-15000</v>
      </c>
      <c r="I23" s="12" t="n">
        <f aca="false">-Varsayımlar!$B$19*(1+Varsayımlar!$B$11)^I$5</f>
        <v>-15000</v>
      </c>
      <c r="J23" s="12" t="n">
        <f aca="false">-Varsayımlar!$B$19*(1+Varsayımlar!$B$11)^J$5</f>
        <v>-15000</v>
      </c>
      <c r="K23" s="12" t="n">
        <f aca="false">-Varsayımlar!$B$19*(1+Varsayımlar!$B$11)^K$5</f>
        <v>-15000</v>
      </c>
      <c r="L23" s="12" t="n">
        <f aca="false">-Varsayımlar!$B$19*(1+Varsayımlar!$B$11)^L$5</f>
        <v>-15000</v>
      </c>
      <c r="M23" s="12" t="n">
        <f aca="false">-Varsayımlar!$B$19*(1+Varsayımlar!$B$11)^M$5</f>
        <v>-15000</v>
      </c>
      <c r="N23" s="12" t="n">
        <f aca="false">-Varsayımlar!$B$19*(1+Varsayımlar!$B$11)^N$5</f>
        <v>-15000</v>
      </c>
      <c r="O23" s="12" t="n">
        <f aca="false">-Varsayımlar!$B$19*(1+Varsayımlar!$B$11)^O$5</f>
        <v>-15000</v>
      </c>
      <c r="P23" s="12" t="n">
        <f aca="false">-Varsayımlar!$B$19*(1+Varsayımlar!$B$11)^P$5</f>
        <v>-15000</v>
      </c>
      <c r="Q23" s="12" t="n">
        <f aca="false">-Varsayımlar!$B$19*(1+Varsayımlar!$B$11)^Q$5</f>
        <v>-15000</v>
      </c>
      <c r="R23" s="12" t="n">
        <f aca="false">-Varsayımlar!$B$19*(1+Varsayımlar!$B$11)^R$5</f>
        <v>-15000</v>
      </c>
      <c r="S23" s="12" t="n">
        <f aca="false">-Varsayımlar!$B$19*(1+Varsayımlar!$B$11)^S$5</f>
        <v>-15000</v>
      </c>
      <c r="T23" s="12" t="n">
        <f aca="false">-Varsayımlar!$B$19*(1+Varsayımlar!$B$11)^T$5</f>
        <v>-15000</v>
      </c>
      <c r="U23" s="12" t="n">
        <f aca="false">-Varsayımlar!$B$19*(1+Varsayımlar!$B$11)^U$5</f>
        <v>-15000</v>
      </c>
      <c r="V23" s="12" t="n">
        <f aca="false">-Varsayımlar!$B$19*(1+Varsayımlar!$B$11)^V$5</f>
        <v>-15000</v>
      </c>
      <c r="W23" s="12" t="n">
        <f aca="false">-Varsayımlar!$B$19*(1+Varsayımlar!$B$11)^W$5</f>
        <v>-15000</v>
      </c>
      <c r="X23" s="12" t="n">
        <f aca="false">-Varsayımlar!$B$19*(1+Varsayımlar!$B$11)^X$5</f>
        <v>-15000</v>
      </c>
      <c r="Y23" s="12" t="n">
        <f aca="false">-Varsayımlar!$B$19*(1+Varsayımlar!$B$11)^Y$5</f>
        <v>-15000</v>
      </c>
      <c r="Z23" s="12" t="n">
        <f aca="false">-Varsayımlar!$B$19*(1+Varsayımlar!$B$11)^Z$5</f>
        <v>-15000</v>
      </c>
      <c r="AA23" s="12" t="n">
        <f aca="false">-Varsayımlar!$B$19*(1+Varsayımlar!$B$11)^AA$5</f>
        <v>-15000</v>
      </c>
      <c r="AB23" s="12" t="n">
        <f aca="false">-Varsayımlar!$B$19*(1+Varsayımlar!$B$11)^AB$5</f>
        <v>-15000</v>
      </c>
      <c r="AC23" s="12" t="n">
        <f aca="false">-Varsayımlar!$B$19*(1+Varsayımlar!$B$11)^AC$5</f>
        <v>-15000</v>
      </c>
      <c r="AD23" s="12" t="n">
        <f aca="false">-Varsayımlar!$B$19*(1+Varsayımlar!$B$11)^AD$5</f>
        <v>-15000</v>
      </c>
      <c r="AE23" s="12" t="n">
        <f aca="false">-Varsayımlar!$B$19*(1+Varsayımlar!$B$11)^AE$5</f>
        <v>-15000</v>
      </c>
      <c r="AF23" s="12" t="n">
        <f aca="false">-Varsayımlar!$B$19*(1+Varsayımlar!$B$11)^AF$5</f>
        <v>-15000</v>
      </c>
      <c r="AG23" s="12" t="n">
        <f aca="false">-Varsayımlar!$B$19*(1+Varsayımlar!$B$11)^AG$5</f>
        <v>-15000</v>
      </c>
      <c r="AH23" s="12" t="n">
        <f aca="false">-Varsayımlar!$B$19*(1+Varsayımlar!$B$11)^AH$5</f>
        <v>-15000</v>
      </c>
      <c r="AI23" s="12" t="n">
        <f aca="false">-Varsayımlar!$B$19*(1+Varsayımlar!$B$11)^AI$5</f>
        <v>-15000</v>
      </c>
      <c r="AJ23" s="12" t="n">
        <f aca="false">-Varsayımlar!$B$19*(1+Varsayımlar!$B$11)^AJ$5</f>
        <v>-15000</v>
      </c>
      <c r="AK23" s="12" t="n">
        <f aca="false">-Varsayımlar!$B$19*(1+Varsayımlar!$B$11)^AK$5</f>
        <v>-15000</v>
      </c>
      <c r="AL23" s="21" t="n">
        <f aca="false">SUM(B23:AK23)</f>
        <v>-540000</v>
      </c>
    </row>
    <row r="24" customFormat="false" ht="15" hidden="false" customHeight="false" outlineLevel="0" collapsed="false">
      <c r="A24" s="5" t="s">
        <v>280</v>
      </c>
      <c r="B24" s="12" t="n">
        <f aca="false">-Varsayımlar!$B$20*(1+Varsayımlar!$B$11)^B$5</f>
        <v>-10000</v>
      </c>
      <c r="C24" s="12" t="n">
        <f aca="false">-Varsayımlar!$B$20*(1+Varsayımlar!$B$11)^C$5</f>
        <v>-10000</v>
      </c>
      <c r="D24" s="12" t="n">
        <f aca="false">-Varsayımlar!$B$20*(1+Varsayımlar!$B$11)^D$5</f>
        <v>-10000</v>
      </c>
      <c r="E24" s="12" t="n">
        <f aca="false">-Varsayımlar!$B$20*(1+Varsayımlar!$B$11)^E$5</f>
        <v>-10000</v>
      </c>
      <c r="F24" s="12" t="n">
        <f aca="false">-Varsayımlar!$B$20*(1+Varsayımlar!$B$11)^F$5</f>
        <v>-10000</v>
      </c>
      <c r="G24" s="12" t="n">
        <f aca="false">-Varsayımlar!$B$20*(1+Varsayımlar!$B$11)^G$5</f>
        <v>-10000</v>
      </c>
      <c r="H24" s="12" t="n">
        <f aca="false">-Varsayımlar!$B$20*(1+Varsayımlar!$B$11)^H$5</f>
        <v>-10000</v>
      </c>
      <c r="I24" s="12" t="n">
        <f aca="false">-Varsayımlar!$B$20*(1+Varsayımlar!$B$11)^I$5</f>
        <v>-10000</v>
      </c>
      <c r="J24" s="12" t="n">
        <f aca="false">-Varsayımlar!$B$20*(1+Varsayımlar!$B$11)^J$5</f>
        <v>-10000</v>
      </c>
      <c r="K24" s="12" t="n">
        <f aca="false">-Varsayımlar!$B$20*(1+Varsayımlar!$B$11)^K$5</f>
        <v>-10000</v>
      </c>
      <c r="L24" s="12" t="n">
        <f aca="false">-Varsayımlar!$B$20*(1+Varsayımlar!$B$11)^L$5</f>
        <v>-10000</v>
      </c>
      <c r="M24" s="12" t="n">
        <f aca="false">-Varsayımlar!$B$20*(1+Varsayımlar!$B$11)^M$5</f>
        <v>-10000</v>
      </c>
      <c r="N24" s="12" t="n">
        <f aca="false">-Varsayımlar!$B$20*(1+Varsayımlar!$B$11)^N$5</f>
        <v>-10000</v>
      </c>
      <c r="O24" s="12" t="n">
        <f aca="false">-Varsayımlar!$B$20*(1+Varsayımlar!$B$11)^O$5</f>
        <v>-10000</v>
      </c>
      <c r="P24" s="12" t="n">
        <f aca="false">-Varsayımlar!$B$20*(1+Varsayımlar!$B$11)^P$5</f>
        <v>-10000</v>
      </c>
      <c r="Q24" s="12" t="n">
        <f aca="false">-Varsayımlar!$B$20*(1+Varsayımlar!$B$11)^Q$5</f>
        <v>-10000</v>
      </c>
      <c r="R24" s="12" t="n">
        <f aca="false">-Varsayımlar!$B$20*(1+Varsayımlar!$B$11)^R$5</f>
        <v>-10000</v>
      </c>
      <c r="S24" s="12" t="n">
        <f aca="false">-Varsayımlar!$B$20*(1+Varsayımlar!$B$11)^S$5</f>
        <v>-10000</v>
      </c>
      <c r="T24" s="12" t="n">
        <f aca="false">-Varsayımlar!$B$20*(1+Varsayımlar!$B$11)^T$5</f>
        <v>-10000</v>
      </c>
      <c r="U24" s="12" t="n">
        <f aca="false">-Varsayımlar!$B$20*(1+Varsayımlar!$B$11)^U$5</f>
        <v>-10000</v>
      </c>
      <c r="V24" s="12" t="n">
        <f aca="false">-Varsayımlar!$B$20*(1+Varsayımlar!$B$11)^V$5</f>
        <v>-10000</v>
      </c>
      <c r="W24" s="12" t="n">
        <f aca="false">-Varsayımlar!$B$20*(1+Varsayımlar!$B$11)^W$5</f>
        <v>-10000</v>
      </c>
      <c r="X24" s="12" t="n">
        <f aca="false">-Varsayımlar!$B$20*(1+Varsayımlar!$B$11)^X$5</f>
        <v>-10000</v>
      </c>
      <c r="Y24" s="12" t="n">
        <f aca="false">-Varsayımlar!$B$20*(1+Varsayımlar!$B$11)^Y$5</f>
        <v>-10000</v>
      </c>
      <c r="Z24" s="12" t="n">
        <f aca="false">-Varsayımlar!$B$20*(1+Varsayımlar!$B$11)^Z$5</f>
        <v>-10000</v>
      </c>
      <c r="AA24" s="12" t="n">
        <f aca="false">-Varsayımlar!$B$20*(1+Varsayımlar!$B$11)^AA$5</f>
        <v>-10000</v>
      </c>
      <c r="AB24" s="12" t="n">
        <f aca="false">-Varsayımlar!$B$20*(1+Varsayımlar!$B$11)^AB$5</f>
        <v>-10000</v>
      </c>
      <c r="AC24" s="12" t="n">
        <f aca="false">-Varsayımlar!$B$20*(1+Varsayımlar!$B$11)^AC$5</f>
        <v>-10000</v>
      </c>
      <c r="AD24" s="12" t="n">
        <f aca="false">-Varsayımlar!$B$20*(1+Varsayımlar!$B$11)^AD$5</f>
        <v>-10000</v>
      </c>
      <c r="AE24" s="12" t="n">
        <f aca="false">-Varsayımlar!$B$20*(1+Varsayımlar!$B$11)^AE$5</f>
        <v>-10000</v>
      </c>
      <c r="AF24" s="12" t="n">
        <f aca="false">-Varsayımlar!$B$20*(1+Varsayımlar!$B$11)^AF$5</f>
        <v>-10000</v>
      </c>
      <c r="AG24" s="12" t="n">
        <f aca="false">-Varsayımlar!$B$20*(1+Varsayımlar!$B$11)^AG$5</f>
        <v>-10000</v>
      </c>
      <c r="AH24" s="12" t="n">
        <f aca="false">-Varsayımlar!$B$20*(1+Varsayımlar!$B$11)^AH$5</f>
        <v>-10000</v>
      </c>
      <c r="AI24" s="12" t="n">
        <f aca="false">-Varsayımlar!$B$20*(1+Varsayımlar!$B$11)^AI$5</f>
        <v>-10000</v>
      </c>
      <c r="AJ24" s="12" t="n">
        <f aca="false">-Varsayımlar!$B$20*(1+Varsayımlar!$B$11)^AJ$5</f>
        <v>-10000</v>
      </c>
      <c r="AK24" s="12" t="n">
        <f aca="false">-Varsayımlar!$B$20*(1+Varsayımlar!$B$11)^AK$5</f>
        <v>-10000</v>
      </c>
      <c r="AL24" s="21" t="n">
        <f aca="false">SUM(B24:AK24)</f>
        <v>-360000</v>
      </c>
    </row>
    <row r="25" customFormat="false" ht="15" hidden="false" customHeight="false" outlineLevel="0" collapsed="false">
      <c r="A25" s="5" t="s">
        <v>281</v>
      </c>
      <c r="B25" s="12" t="n">
        <f aca="false">-Varsayımlar!$B$21*(1+Varsayımlar!$B$11)^B$5</f>
        <v>-3000</v>
      </c>
      <c r="C25" s="12" t="n">
        <f aca="false">-Varsayımlar!$B$21*(1+Varsayımlar!$B$11)^C$5</f>
        <v>-3000</v>
      </c>
      <c r="D25" s="12" t="n">
        <f aca="false">-Varsayımlar!$B$21*(1+Varsayımlar!$B$11)^D$5</f>
        <v>-3000</v>
      </c>
      <c r="E25" s="12" t="n">
        <f aca="false">-Varsayımlar!$B$21*(1+Varsayımlar!$B$11)^E$5</f>
        <v>-3000</v>
      </c>
      <c r="F25" s="12" t="n">
        <f aca="false">-Varsayımlar!$B$21*(1+Varsayımlar!$B$11)^F$5</f>
        <v>-3000</v>
      </c>
      <c r="G25" s="12" t="n">
        <f aca="false">-Varsayımlar!$B$21*(1+Varsayımlar!$B$11)^G$5</f>
        <v>-3000</v>
      </c>
      <c r="H25" s="12" t="n">
        <f aca="false">-Varsayımlar!$B$21*(1+Varsayımlar!$B$11)^H$5</f>
        <v>-3000</v>
      </c>
      <c r="I25" s="12" t="n">
        <f aca="false">-Varsayımlar!$B$21*(1+Varsayımlar!$B$11)^I$5</f>
        <v>-3000</v>
      </c>
      <c r="J25" s="12" t="n">
        <f aca="false">-Varsayımlar!$B$21*(1+Varsayımlar!$B$11)^J$5</f>
        <v>-3000</v>
      </c>
      <c r="K25" s="12" t="n">
        <f aca="false">-Varsayımlar!$B$21*(1+Varsayımlar!$B$11)^K$5</f>
        <v>-3000</v>
      </c>
      <c r="L25" s="12" t="n">
        <f aca="false">-Varsayımlar!$B$21*(1+Varsayımlar!$B$11)^L$5</f>
        <v>-3000</v>
      </c>
      <c r="M25" s="12" t="n">
        <f aca="false">-Varsayımlar!$B$21*(1+Varsayımlar!$B$11)^M$5</f>
        <v>-3000</v>
      </c>
      <c r="N25" s="12" t="n">
        <f aca="false">-Varsayımlar!$B$21*(1+Varsayımlar!$B$11)^N$5</f>
        <v>-3000</v>
      </c>
      <c r="O25" s="12" t="n">
        <f aca="false">-Varsayımlar!$B$21*(1+Varsayımlar!$B$11)^O$5</f>
        <v>-3000</v>
      </c>
      <c r="P25" s="12" t="n">
        <f aca="false">-Varsayımlar!$B$21*(1+Varsayımlar!$B$11)^P$5</f>
        <v>-3000</v>
      </c>
      <c r="Q25" s="12" t="n">
        <f aca="false">-Varsayımlar!$B$21*(1+Varsayımlar!$B$11)^Q$5</f>
        <v>-3000</v>
      </c>
      <c r="R25" s="12" t="n">
        <f aca="false">-Varsayımlar!$B$21*(1+Varsayımlar!$B$11)^R$5</f>
        <v>-3000</v>
      </c>
      <c r="S25" s="12" t="n">
        <f aca="false">-Varsayımlar!$B$21*(1+Varsayımlar!$B$11)^S$5</f>
        <v>-3000</v>
      </c>
      <c r="T25" s="12" t="n">
        <f aca="false">-Varsayımlar!$B$21*(1+Varsayımlar!$B$11)^T$5</f>
        <v>-3000</v>
      </c>
      <c r="U25" s="12" t="n">
        <f aca="false">-Varsayımlar!$B$21*(1+Varsayımlar!$B$11)^U$5</f>
        <v>-3000</v>
      </c>
      <c r="V25" s="12" t="n">
        <f aca="false">-Varsayımlar!$B$21*(1+Varsayımlar!$B$11)^V$5</f>
        <v>-3000</v>
      </c>
      <c r="W25" s="12" t="n">
        <f aca="false">-Varsayımlar!$B$21*(1+Varsayımlar!$B$11)^W$5</f>
        <v>-3000</v>
      </c>
      <c r="X25" s="12" t="n">
        <f aca="false">-Varsayımlar!$B$21*(1+Varsayımlar!$B$11)^X$5</f>
        <v>-3000</v>
      </c>
      <c r="Y25" s="12" t="n">
        <f aca="false">-Varsayımlar!$B$21*(1+Varsayımlar!$B$11)^Y$5</f>
        <v>-3000</v>
      </c>
      <c r="Z25" s="12" t="n">
        <f aca="false">-Varsayımlar!$B$21*(1+Varsayımlar!$B$11)^Z$5</f>
        <v>-3000</v>
      </c>
      <c r="AA25" s="12" t="n">
        <f aca="false">-Varsayımlar!$B$21*(1+Varsayımlar!$B$11)^AA$5</f>
        <v>-3000</v>
      </c>
      <c r="AB25" s="12" t="n">
        <f aca="false">-Varsayımlar!$B$21*(1+Varsayımlar!$B$11)^AB$5</f>
        <v>-3000</v>
      </c>
      <c r="AC25" s="12" t="n">
        <f aca="false">-Varsayımlar!$B$21*(1+Varsayımlar!$B$11)^AC$5</f>
        <v>-3000</v>
      </c>
      <c r="AD25" s="12" t="n">
        <f aca="false">-Varsayımlar!$B$21*(1+Varsayımlar!$B$11)^AD$5</f>
        <v>-3000</v>
      </c>
      <c r="AE25" s="12" t="n">
        <f aca="false">-Varsayımlar!$B$21*(1+Varsayımlar!$B$11)^AE$5</f>
        <v>-3000</v>
      </c>
      <c r="AF25" s="12" t="n">
        <f aca="false">-Varsayımlar!$B$21*(1+Varsayımlar!$B$11)^AF$5</f>
        <v>-3000</v>
      </c>
      <c r="AG25" s="12" t="n">
        <f aca="false">-Varsayımlar!$B$21*(1+Varsayımlar!$B$11)^AG$5</f>
        <v>-3000</v>
      </c>
      <c r="AH25" s="12" t="n">
        <f aca="false">-Varsayımlar!$B$21*(1+Varsayımlar!$B$11)^AH$5</f>
        <v>-3000</v>
      </c>
      <c r="AI25" s="12" t="n">
        <f aca="false">-Varsayımlar!$B$21*(1+Varsayımlar!$B$11)^AI$5</f>
        <v>-3000</v>
      </c>
      <c r="AJ25" s="12" t="n">
        <f aca="false">-Varsayımlar!$B$21*(1+Varsayımlar!$B$11)^AJ$5</f>
        <v>-3000</v>
      </c>
      <c r="AK25" s="12" t="n">
        <f aca="false">-Varsayımlar!$B$21*(1+Varsayımlar!$B$11)^AK$5</f>
        <v>-3000</v>
      </c>
      <c r="AL25" s="21" t="n">
        <f aca="false">SUM(B25:AK25)</f>
        <v>-108000</v>
      </c>
    </row>
    <row r="26" customFormat="false" ht="15" hidden="false" customHeight="false" outlineLevel="0" collapsed="false">
      <c r="A26" s="5" t="s">
        <v>282</v>
      </c>
      <c r="B26" s="12" t="n">
        <f aca="false">-Varsayımlar!$B$22*(1+Varsayımlar!$B$11)^B$5</f>
        <v>-3000</v>
      </c>
      <c r="C26" s="12" t="n">
        <f aca="false">-Varsayımlar!$B$22*(1+Varsayımlar!$B$11)^C$5</f>
        <v>-3000</v>
      </c>
      <c r="D26" s="12" t="n">
        <f aca="false">-Varsayımlar!$B$22*(1+Varsayımlar!$B$11)^D$5</f>
        <v>-3000</v>
      </c>
      <c r="E26" s="12" t="n">
        <f aca="false">-Varsayımlar!$B$22*(1+Varsayımlar!$B$11)^E$5</f>
        <v>-3000</v>
      </c>
      <c r="F26" s="12" t="n">
        <f aca="false">-Varsayımlar!$B$22*(1+Varsayımlar!$B$11)^F$5</f>
        <v>-3000</v>
      </c>
      <c r="G26" s="12" t="n">
        <f aca="false">-Varsayımlar!$B$22*(1+Varsayımlar!$B$11)^G$5</f>
        <v>-3000</v>
      </c>
      <c r="H26" s="12" t="n">
        <f aca="false">-Varsayımlar!$B$22*(1+Varsayımlar!$B$11)^H$5</f>
        <v>-3000</v>
      </c>
      <c r="I26" s="12" t="n">
        <f aca="false">-Varsayımlar!$B$22*(1+Varsayımlar!$B$11)^I$5</f>
        <v>-3000</v>
      </c>
      <c r="J26" s="12" t="n">
        <f aca="false">-Varsayımlar!$B$22*(1+Varsayımlar!$B$11)^J$5</f>
        <v>-3000</v>
      </c>
      <c r="K26" s="12" t="n">
        <f aca="false">-Varsayımlar!$B$22*(1+Varsayımlar!$B$11)^K$5</f>
        <v>-3000</v>
      </c>
      <c r="L26" s="12" t="n">
        <f aca="false">-Varsayımlar!$B$22*(1+Varsayımlar!$B$11)^L$5</f>
        <v>-3000</v>
      </c>
      <c r="M26" s="12" t="n">
        <f aca="false">-Varsayımlar!$B$22*(1+Varsayımlar!$B$11)^M$5</f>
        <v>-3000</v>
      </c>
      <c r="N26" s="12" t="n">
        <f aca="false">-Varsayımlar!$B$22*(1+Varsayımlar!$B$11)^N$5</f>
        <v>-3000</v>
      </c>
      <c r="O26" s="12" t="n">
        <f aca="false">-Varsayımlar!$B$22*(1+Varsayımlar!$B$11)^O$5</f>
        <v>-3000</v>
      </c>
      <c r="P26" s="12" t="n">
        <f aca="false">-Varsayımlar!$B$22*(1+Varsayımlar!$B$11)^P$5</f>
        <v>-3000</v>
      </c>
      <c r="Q26" s="12" t="n">
        <f aca="false">-Varsayımlar!$B$22*(1+Varsayımlar!$B$11)^Q$5</f>
        <v>-3000</v>
      </c>
      <c r="R26" s="12" t="n">
        <f aca="false">-Varsayımlar!$B$22*(1+Varsayımlar!$B$11)^R$5</f>
        <v>-3000</v>
      </c>
      <c r="S26" s="12" t="n">
        <f aca="false">-Varsayımlar!$B$22*(1+Varsayımlar!$B$11)^S$5</f>
        <v>-3000</v>
      </c>
      <c r="T26" s="12" t="n">
        <f aca="false">-Varsayımlar!$B$22*(1+Varsayımlar!$B$11)^T$5</f>
        <v>-3000</v>
      </c>
      <c r="U26" s="12" t="n">
        <f aca="false">-Varsayımlar!$B$22*(1+Varsayımlar!$B$11)^U$5</f>
        <v>-3000</v>
      </c>
      <c r="V26" s="12" t="n">
        <f aca="false">-Varsayımlar!$B$22*(1+Varsayımlar!$B$11)^V$5</f>
        <v>-3000</v>
      </c>
      <c r="W26" s="12" t="n">
        <f aca="false">-Varsayımlar!$B$22*(1+Varsayımlar!$B$11)^W$5</f>
        <v>-3000</v>
      </c>
      <c r="X26" s="12" t="n">
        <f aca="false">-Varsayımlar!$B$22*(1+Varsayımlar!$B$11)^X$5</f>
        <v>-3000</v>
      </c>
      <c r="Y26" s="12" t="n">
        <f aca="false">-Varsayımlar!$B$22*(1+Varsayımlar!$B$11)^Y$5</f>
        <v>-3000</v>
      </c>
      <c r="Z26" s="12" t="n">
        <f aca="false">-Varsayımlar!$B$22*(1+Varsayımlar!$B$11)^Z$5</f>
        <v>-3000</v>
      </c>
      <c r="AA26" s="12" t="n">
        <f aca="false">-Varsayımlar!$B$22*(1+Varsayımlar!$B$11)^AA$5</f>
        <v>-3000</v>
      </c>
      <c r="AB26" s="12" t="n">
        <f aca="false">-Varsayımlar!$B$22*(1+Varsayımlar!$B$11)^AB$5</f>
        <v>-3000</v>
      </c>
      <c r="AC26" s="12" t="n">
        <f aca="false">-Varsayımlar!$B$22*(1+Varsayımlar!$B$11)^AC$5</f>
        <v>-3000</v>
      </c>
      <c r="AD26" s="12" t="n">
        <f aca="false">-Varsayımlar!$B$22*(1+Varsayımlar!$B$11)^AD$5</f>
        <v>-3000</v>
      </c>
      <c r="AE26" s="12" t="n">
        <f aca="false">-Varsayımlar!$B$22*(1+Varsayımlar!$B$11)^AE$5</f>
        <v>-3000</v>
      </c>
      <c r="AF26" s="12" t="n">
        <f aca="false">-Varsayımlar!$B$22*(1+Varsayımlar!$B$11)^AF$5</f>
        <v>-3000</v>
      </c>
      <c r="AG26" s="12" t="n">
        <f aca="false">-Varsayımlar!$B$22*(1+Varsayımlar!$B$11)^AG$5</f>
        <v>-3000</v>
      </c>
      <c r="AH26" s="12" t="n">
        <f aca="false">-Varsayımlar!$B$22*(1+Varsayımlar!$B$11)^AH$5</f>
        <v>-3000</v>
      </c>
      <c r="AI26" s="12" t="n">
        <f aca="false">-Varsayımlar!$B$22*(1+Varsayımlar!$B$11)^AI$5</f>
        <v>-3000</v>
      </c>
      <c r="AJ26" s="12" t="n">
        <f aca="false">-Varsayımlar!$B$22*(1+Varsayımlar!$B$11)^AJ$5</f>
        <v>-3000</v>
      </c>
      <c r="AK26" s="12" t="n">
        <f aca="false">-Varsayımlar!$B$22*(1+Varsayımlar!$B$11)^AK$5</f>
        <v>-3000</v>
      </c>
      <c r="AL26" s="21" t="n">
        <f aca="false">SUM(B26:AK26)</f>
        <v>-108000</v>
      </c>
    </row>
    <row r="27" customFormat="false" ht="15" hidden="false" customHeight="false" outlineLevel="0" collapsed="false">
      <c r="A27" s="5" t="s">
        <v>283</v>
      </c>
      <c r="B27" s="12" t="n">
        <f aca="false">-Varsayımlar!$B$23*(1+Varsayımlar!$B$11)^B$5</f>
        <v>-10000</v>
      </c>
      <c r="C27" s="12" t="n">
        <f aca="false">-Varsayımlar!$B$23*(1+Varsayımlar!$B$11)^C$5</f>
        <v>-10000</v>
      </c>
      <c r="D27" s="12" t="n">
        <f aca="false">-Varsayımlar!$B$23*(1+Varsayımlar!$B$11)^D$5</f>
        <v>-10000</v>
      </c>
      <c r="E27" s="12" t="n">
        <f aca="false">-Varsayımlar!$B$23*(1+Varsayımlar!$B$11)^E$5</f>
        <v>-10000</v>
      </c>
      <c r="F27" s="12" t="n">
        <f aca="false">-Varsayımlar!$B$23*(1+Varsayımlar!$B$11)^F$5</f>
        <v>-10000</v>
      </c>
      <c r="G27" s="12" t="n">
        <f aca="false">-Varsayımlar!$B$23*(1+Varsayımlar!$B$11)^G$5</f>
        <v>-10000</v>
      </c>
      <c r="H27" s="12" t="n">
        <f aca="false">-Varsayımlar!$B$23*(1+Varsayımlar!$B$11)^H$5</f>
        <v>-10000</v>
      </c>
      <c r="I27" s="12" t="n">
        <f aca="false">-Varsayımlar!$B$23*(1+Varsayımlar!$B$11)^I$5</f>
        <v>-10000</v>
      </c>
      <c r="J27" s="12" t="n">
        <f aca="false">-Varsayımlar!$B$23*(1+Varsayımlar!$B$11)^J$5</f>
        <v>-10000</v>
      </c>
      <c r="K27" s="12" t="n">
        <f aca="false">-Varsayımlar!$B$23*(1+Varsayımlar!$B$11)^K$5</f>
        <v>-10000</v>
      </c>
      <c r="L27" s="12" t="n">
        <f aca="false">-Varsayımlar!$B$23*(1+Varsayımlar!$B$11)^L$5</f>
        <v>-10000</v>
      </c>
      <c r="M27" s="12" t="n">
        <f aca="false">-Varsayımlar!$B$23*(1+Varsayımlar!$B$11)^M$5</f>
        <v>-10000</v>
      </c>
      <c r="N27" s="12" t="n">
        <f aca="false">-Varsayımlar!$B$23*(1+Varsayımlar!$B$11)^N$5</f>
        <v>-10000</v>
      </c>
      <c r="O27" s="12" t="n">
        <f aca="false">-Varsayımlar!$B$23*(1+Varsayımlar!$B$11)^O$5</f>
        <v>-10000</v>
      </c>
      <c r="P27" s="12" t="n">
        <f aca="false">-Varsayımlar!$B$23*(1+Varsayımlar!$B$11)^P$5</f>
        <v>-10000</v>
      </c>
      <c r="Q27" s="12" t="n">
        <f aca="false">-Varsayımlar!$B$23*(1+Varsayımlar!$B$11)^Q$5</f>
        <v>-10000</v>
      </c>
      <c r="R27" s="12" t="n">
        <f aca="false">-Varsayımlar!$B$23*(1+Varsayımlar!$B$11)^R$5</f>
        <v>-10000</v>
      </c>
      <c r="S27" s="12" t="n">
        <f aca="false">-Varsayımlar!$B$23*(1+Varsayımlar!$B$11)^S$5</f>
        <v>-10000</v>
      </c>
      <c r="T27" s="12" t="n">
        <f aca="false">-Varsayımlar!$B$23*(1+Varsayımlar!$B$11)^T$5</f>
        <v>-10000</v>
      </c>
      <c r="U27" s="12" t="n">
        <f aca="false">-Varsayımlar!$B$23*(1+Varsayımlar!$B$11)^U$5</f>
        <v>-10000</v>
      </c>
      <c r="V27" s="12" t="n">
        <f aca="false">-Varsayımlar!$B$23*(1+Varsayımlar!$B$11)^V$5</f>
        <v>-10000</v>
      </c>
      <c r="W27" s="12" t="n">
        <f aca="false">-Varsayımlar!$B$23*(1+Varsayımlar!$B$11)^W$5</f>
        <v>-10000</v>
      </c>
      <c r="X27" s="12" t="n">
        <f aca="false">-Varsayımlar!$B$23*(1+Varsayımlar!$B$11)^X$5</f>
        <v>-10000</v>
      </c>
      <c r="Y27" s="12" t="n">
        <f aca="false">-Varsayımlar!$B$23*(1+Varsayımlar!$B$11)^Y$5</f>
        <v>-10000</v>
      </c>
      <c r="Z27" s="12" t="n">
        <f aca="false">-Varsayımlar!$B$23*(1+Varsayımlar!$B$11)^Z$5</f>
        <v>-10000</v>
      </c>
      <c r="AA27" s="12" t="n">
        <f aca="false">-Varsayımlar!$B$23*(1+Varsayımlar!$B$11)^AA$5</f>
        <v>-10000</v>
      </c>
      <c r="AB27" s="12" t="n">
        <f aca="false">-Varsayımlar!$B$23*(1+Varsayımlar!$B$11)^AB$5</f>
        <v>-10000</v>
      </c>
      <c r="AC27" s="12" t="n">
        <f aca="false">-Varsayımlar!$B$23*(1+Varsayımlar!$B$11)^AC$5</f>
        <v>-10000</v>
      </c>
      <c r="AD27" s="12" t="n">
        <f aca="false">-Varsayımlar!$B$23*(1+Varsayımlar!$B$11)^AD$5</f>
        <v>-10000</v>
      </c>
      <c r="AE27" s="12" t="n">
        <f aca="false">-Varsayımlar!$B$23*(1+Varsayımlar!$B$11)^AE$5</f>
        <v>-10000</v>
      </c>
      <c r="AF27" s="12" t="n">
        <f aca="false">-Varsayımlar!$B$23*(1+Varsayımlar!$B$11)^AF$5</f>
        <v>-10000</v>
      </c>
      <c r="AG27" s="12" t="n">
        <f aca="false">-Varsayımlar!$B$23*(1+Varsayımlar!$B$11)^AG$5</f>
        <v>-10000</v>
      </c>
      <c r="AH27" s="12" t="n">
        <f aca="false">-Varsayımlar!$B$23*(1+Varsayımlar!$B$11)^AH$5</f>
        <v>-10000</v>
      </c>
      <c r="AI27" s="12" t="n">
        <f aca="false">-Varsayımlar!$B$23*(1+Varsayımlar!$B$11)^AI$5</f>
        <v>-10000</v>
      </c>
      <c r="AJ27" s="12" t="n">
        <f aca="false">-Varsayımlar!$B$23*(1+Varsayımlar!$B$11)^AJ$5</f>
        <v>-10000</v>
      </c>
      <c r="AK27" s="12" t="n">
        <f aca="false">-Varsayımlar!$B$23*(1+Varsayımlar!$B$11)^AK$5</f>
        <v>-10000</v>
      </c>
      <c r="AL27" s="21" t="n">
        <f aca="false">SUM(B27:AK27)</f>
        <v>-360000</v>
      </c>
    </row>
    <row r="28" customFormat="false" ht="15" hidden="false" customHeight="false" outlineLevel="0" collapsed="false">
      <c r="A28" s="5" t="s">
        <v>284</v>
      </c>
      <c r="B28" s="12" t="n">
        <f aca="false">-Varsayımlar!$B$24*(1+Varsayımlar!$B$11)^B$5</f>
        <v>-1000</v>
      </c>
      <c r="C28" s="12" t="n">
        <f aca="false">-Varsayımlar!$B$24*(1+Varsayımlar!$B$11)^C$5</f>
        <v>-1000</v>
      </c>
      <c r="D28" s="12" t="n">
        <f aca="false">-Varsayımlar!$B$24*(1+Varsayımlar!$B$11)^D$5</f>
        <v>-1000</v>
      </c>
      <c r="E28" s="12" t="n">
        <f aca="false">-Varsayımlar!$B$24*(1+Varsayımlar!$B$11)^E$5</f>
        <v>-1000</v>
      </c>
      <c r="F28" s="12" t="n">
        <f aca="false">-Varsayımlar!$B$24*(1+Varsayımlar!$B$11)^F$5</f>
        <v>-1000</v>
      </c>
      <c r="G28" s="12" t="n">
        <f aca="false">-Varsayımlar!$B$24*(1+Varsayımlar!$B$11)^G$5</f>
        <v>-1000</v>
      </c>
      <c r="H28" s="12" t="n">
        <f aca="false">-Varsayımlar!$B$24*(1+Varsayımlar!$B$11)^H$5</f>
        <v>-1000</v>
      </c>
      <c r="I28" s="12" t="n">
        <f aca="false">-Varsayımlar!$B$24*(1+Varsayımlar!$B$11)^I$5</f>
        <v>-1000</v>
      </c>
      <c r="J28" s="12" t="n">
        <f aca="false">-Varsayımlar!$B$24*(1+Varsayımlar!$B$11)^J$5</f>
        <v>-1000</v>
      </c>
      <c r="K28" s="12" t="n">
        <f aca="false">-Varsayımlar!$B$24*(1+Varsayımlar!$B$11)^K$5</f>
        <v>-1000</v>
      </c>
      <c r="L28" s="12" t="n">
        <f aca="false">-Varsayımlar!$B$24*(1+Varsayımlar!$B$11)^L$5</f>
        <v>-1000</v>
      </c>
      <c r="M28" s="12" t="n">
        <f aca="false">-Varsayımlar!$B$24*(1+Varsayımlar!$B$11)^M$5</f>
        <v>-1000</v>
      </c>
      <c r="N28" s="12" t="n">
        <f aca="false">-Varsayımlar!$B$24*(1+Varsayımlar!$B$11)^N$5</f>
        <v>-1000</v>
      </c>
      <c r="O28" s="12" t="n">
        <f aca="false">-Varsayımlar!$B$24*(1+Varsayımlar!$B$11)^O$5</f>
        <v>-1000</v>
      </c>
      <c r="P28" s="12" t="n">
        <f aca="false">-Varsayımlar!$B$24*(1+Varsayımlar!$B$11)^P$5</f>
        <v>-1000</v>
      </c>
      <c r="Q28" s="12" t="n">
        <f aca="false">-Varsayımlar!$B$24*(1+Varsayımlar!$B$11)^Q$5</f>
        <v>-1000</v>
      </c>
      <c r="R28" s="12" t="n">
        <f aca="false">-Varsayımlar!$B$24*(1+Varsayımlar!$B$11)^R$5</f>
        <v>-1000</v>
      </c>
      <c r="S28" s="12" t="n">
        <f aca="false">-Varsayımlar!$B$24*(1+Varsayımlar!$B$11)^S$5</f>
        <v>-1000</v>
      </c>
      <c r="T28" s="12" t="n">
        <f aca="false">-Varsayımlar!$B$24*(1+Varsayımlar!$B$11)^T$5</f>
        <v>-1000</v>
      </c>
      <c r="U28" s="12" t="n">
        <f aca="false">-Varsayımlar!$B$24*(1+Varsayımlar!$B$11)^U$5</f>
        <v>-1000</v>
      </c>
      <c r="V28" s="12" t="n">
        <f aca="false">-Varsayımlar!$B$24*(1+Varsayımlar!$B$11)^V$5</f>
        <v>-1000</v>
      </c>
      <c r="W28" s="12" t="n">
        <f aca="false">-Varsayımlar!$B$24*(1+Varsayımlar!$B$11)^W$5</f>
        <v>-1000</v>
      </c>
      <c r="X28" s="12" t="n">
        <f aca="false">-Varsayımlar!$B$24*(1+Varsayımlar!$B$11)^X$5</f>
        <v>-1000</v>
      </c>
      <c r="Y28" s="12" t="n">
        <f aca="false">-Varsayımlar!$B$24*(1+Varsayımlar!$B$11)^Y$5</f>
        <v>-1000</v>
      </c>
      <c r="Z28" s="12" t="n">
        <f aca="false">-Varsayımlar!$B$24*(1+Varsayımlar!$B$11)^Z$5</f>
        <v>-1000</v>
      </c>
      <c r="AA28" s="12" t="n">
        <f aca="false">-Varsayımlar!$B$24*(1+Varsayımlar!$B$11)^AA$5</f>
        <v>-1000</v>
      </c>
      <c r="AB28" s="12" t="n">
        <f aca="false">-Varsayımlar!$B$24*(1+Varsayımlar!$B$11)^AB$5</f>
        <v>-1000</v>
      </c>
      <c r="AC28" s="12" t="n">
        <f aca="false">-Varsayımlar!$B$24*(1+Varsayımlar!$B$11)^AC$5</f>
        <v>-1000</v>
      </c>
      <c r="AD28" s="12" t="n">
        <f aca="false">-Varsayımlar!$B$24*(1+Varsayımlar!$B$11)^AD$5</f>
        <v>-1000</v>
      </c>
      <c r="AE28" s="12" t="n">
        <f aca="false">-Varsayımlar!$B$24*(1+Varsayımlar!$B$11)^AE$5</f>
        <v>-1000</v>
      </c>
      <c r="AF28" s="12" t="n">
        <f aca="false">-Varsayımlar!$B$24*(1+Varsayımlar!$B$11)^AF$5</f>
        <v>-1000</v>
      </c>
      <c r="AG28" s="12" t="n">
        <f aca="false">-Varsayımlar!$B$24*(1+Varsayımlar!$B$11)^AG$5</f>
        <v>-1000</v>
      </c>
      <c r="AH28" s="12" t="n">
        <f aca="false">-Varsayımlar!$B$24*(1+Varsayımlar!$B$11)^AH$5</f>
        <v>-1000</v>
      </c>
      <c r="AI28" s="12" t="n">
        <f aca="false">-Varsayımlar!$B$24*(1+Varsayımlar!$B$11)^AI$5</f>
        <v>-1000</v>
      </c>
      <c r="AJ28" s="12" t="n">
        <f aca="false">-Varsayımlar!$B$24*(1+Varsayımlar!$B$11)^AJ$5</f>
        <v>-1000</v>
      </c>
      <c r="AK28" s="12" t="n">
        <f aca="false">-Varsayımlar!$B$24*(1+Varsayımlar!$B$11)^AK$5</f>
        <v>-1000</v>
      </c>
      <c r="AL28" s="21" t="n">
        <f aca="false">SUM(B28:AK28)</f>
        <v>-36000</v>
      </c>
    </row>
    <row r="29" customFormat="false" ht="15" hidden="false" customHeight="false" outlineLevel="0" collapsed="false">
      <c r="A29" s="5" t="s">
        <v>285</v>
      </c>
      <c r="B29" s="12" t="n">
        <f aca="false">-Varsayımlar!$B$25*(1+Varsayımlar!$B$11)^B$5</f>
        <v>-5000</v>
      </c>
      <c r="C29" s="12" t="n">
        <f aca="false">-Varsayımlar!$B$25*(1+Varsayımlar!$B$11)^C$5</f>
        <v>-5000</v>
      </c>
      <c r="D29" s="12" t="n">
        <f aca="false">-Varsayımlar!$B$25*(1+Varsayımlar!$B$11)^D$5</f>
        <v>-5000</v>
      </c>
      <c r="E29" s="12" t="n">
        <f aca="false">-Varsayımlar!$B$25*(1+Varsayımlar!$B$11)^E$5</f>
        <v>-5000</v>
      </c>
      <c r="F29" s="12" t="n">
        <f aca="false">-Varsayımlar!$B$25*(1+Varsayımlar!$B$11)^F$5</f>
        <v>-5000</v>
      </c>
      <c r="G29" s="12" t="n">
        <f aca="false">-Varsayımlar!$B$25*(1+Varsayımlar!$B$11)^G$5</f>
        <v>-5000</v>
      </c>
      <c r="H29" s="12" t="n">
        <f aca="false">-Varsayımlar!$B$25*(1+Varsayımlar!$B$11)^H$5</f>
        <v>-5000</v>
      </c>
      <c r="I29" s="12" t="n">
        <f aca="false">-Varsayımlar!$B$25*(1+Varsayımlar!$B$11)^I$5</f>
        <v>-5000</v>
      </c>
      <c r="J29" s="12" t="n">
        <f aca="false">-Varsayımlar!$B$25*(1+Varsayımlar!$B$11)^J$5</f>
        <v>-5000</v>
      </c>
      <c r="K29" s="12" t="n">
        <f aca="false">-Varsayımlar!$B$25*(1+Varsayımlar!$B$11)^K$5</f>
        <v>-5000</v>
      </c>
      <c r="L29" s="12" t="n">
        <f aca="false">-Varsayımlar!$B$25*(1+Varsayımlar!$B$11)^L$5</f>
        <v>-5000</v>
      </c>
      <c r="M29" s="12" t="n">
        <f aca="false">-Varsayımlar!$B$25*(1+Varsayımlar!$B$11)^M$5</f>
        <v>-5000</v>
      </c>
      <c r="N29" s="12" t="n">
        <f aca="false">-Varsayımlar!$B$25*(1+Varsayımlar!$B$11)^N$5</f>
        <v>-5000</v>
      </c>
      <c r="O29" s="12" t="n">
        <f aca="false">-Varsayımlar!$B$25*(1+Varsayımlar!$B$11)^O$5</f>
        <v>-5000</v>
      </c>
      <c r="P29" s="12" t="n">
        <f aca="false">-Varsayımlar!$B$25*(1+Varsayımlar!$B$11)^P$5</f>
        <v>-5000</v>
      </c>
      <c r="Q29" s="12" t="n">
        <f aca="false">-Varsayımlar!$B$25*(1+Varsayımlar!$B$11)^Q$5</f>
        <v>-5000</v>
      </c>
      <c r="R29" s="12" t="n">
        <f aca="false">-Varsayımlar!$B$25*(1+Varsayımlar!$B$11)^R$5</f>
        <v>-5000</v>
      </c>
      <c r="S29" s="12" t="n">
        <f aca="false">-Varsayımlar!$B$25*(1+Varsayımlar!$B$11)^S$5</f>
        <v>-5000</v>
      </c>
      <c r="T29" s="12" t="n">
        <f aca="false">-Varsayımlar!$B$25*(1+Varsayımlar!$B$11)^T$5</f>
        <v>-5000</v>
      </c>
      <c r="U29" s="12" t="n">
        <f aca="false">-Varsayımlar!$B$25*(1+Varsayımlar!$B$11)^U$5</f>
        <v>-5000</v>
      </c>
      <c r="V29" s="12" t="n">
        <f aca="false">-Varsayımlar!$B$25*(1+Varsayımlar!$B$11)^V$5</f>
        <v>-5000</v>
      </c>
      <c r="W29" s="12" t="n">
        <f aca="false">-Varsayımlar!$B$25*(1+Varsayımlar!$B$11)^W$5</f>
        <v>-5000</v>
      </c>
      <c r="X29" s="12" t="n">
        <f aca="false">-Varsayımlar!$B$25*(1+Varsayımlar!$B$11)^X$5</f>
        <v>-5000</v>
      </c>
      <c r="Y29" s="12" t="n">
        <f aca="false">-Varsayımlar!$B$25*(1+Varsayımlar!$B$11)^Y$5</f>
        <v>-5000</v>
      </c>
      <c r="Z29" s="12" t="n">
        <f aca="false">-Varsayımlar!$B$25*(1+Varsayımlar!$B$11)^Z$5</f>
        <v>-5000</v>
      </c>
      <c r="AA29" s="12" t="n">
        <f aca="false">-Varsayımlar!$B$25*(1+Varsayımlar!$B$11)^AA$5</f>
        <v>-5000</v>
      </c>
      <c r="AB29" s="12" t="n">
        <f aca="false">-Varsayımlar!$B$25*(1+Varsayımlar!$B$11)^AB$5</f>
        <v>-5000</v>
      </c>
      <c r="AC29" s="12" t="n">
        <f aca="false">-Varsayımlar!$B$25*(1+Varsayımlar!$B$11)^AC$5</f>
        <v>-5000</v>
      </c>
      <c r="AD29" s="12" t="n">
        <f aca="false">-Varsayımlar!$B$25*(1+Varsayımlar!$B$11)^AD$5</f>
        <v>-5000</v>
      </c>
      <c r="AE29" s="12" t="n">
        <f aca="false">-Varsayımlar!$B$25*(1+Varsayımlar!$B$11)^AE$5</f>
        <v>-5000</v>
      </c>
      <c r="AF29" s="12" t="n">
        <f aca="false">-Varsayımlar!$B$25*(1+Varsayımlar!$B$11)^AF$5</f>
        <v>-5000</v>
      </c>
      <c r="AG29" s="12" t="n">
        <f aca="false">-Varsayımlar!$B$25*(1+Varsayımlar!$B$11)^AG$5</f>
        <v>-5000</v>
      </c>
      <c r="AH29" s="12" t="n">
        <f aca="false">-Varsayımlar!$B$25*(1+Varsayımlar!$B$11)^AH$5</f>
        <v>-5000</v>
      </c>
      <c r="AI29" s="12" t="n">
        <f aca="false">-Varsayımlar!$B$25*(1+Varsayımlar!$B$11)^AI$5</f>
        <v>-5000</v>
      </c>
      <c r="AJ29" s="12" t="n">
        <f aca="false">-Varsayımlar!$B$25*(1+Varsayımlar!$B$11)^AJ$5</f>
        <v>-5000</v>
      </c>
      <c r="AK29" s="12" t="n">
        <f aca="false">-Varsayımlar!$B$25*(1+Varsayımlar!$B$11)^AK$5</f>
        <v>-5000</v>
      </c>
      <c r="AL29" s="21" t="n">
        <f aca="false">SUM(B29:AK29)</f>
        <v>-180000</v>
      </c>
    </row>
    <row r="30" customFormat="false" ht="15" hidden="false" customHeight="false" outlineLevel="0" collapsed="false">
      <c r="A30" s="5" t="s">
        <v>286</v>
      </c>
      <c r="B30" s="12" t="n">
        <f aca="false">-Varsayımlar!$B$26*(1+Varsayımlar!$B$11)^B$5</f>
        <v>-15000</v>
      </c>
      <c r="C30" s="12" t="n">
        <f aca="false">-Varsayımlar!$B$26*(1+Varsayımlar!$B$11)^C$5</f>
        <v>-15000</v>
      </c>
      <c r="D30" s="12" t="n">
        <f aca="false">-Varsayımlar!$B$26*(1+Varsayımlar!$B$11)^D$5</f>
        <v>-15000</v>
      </c>
      <c r="E30" s="12" t="n">
        <f aca="false">-Varsayımlar!$B$26*(1+Varsayımlar!$B$11)^E$5</f>
        <v>-15000</v>
      </c>
      <c r="F30" s="12" t="n">
        <f aca="false">-Varsayımlar!$B$26*(1+Varsayımlar!$B$11)^F$5</f>
        <v>-15000</v>
      </c>
      <c r="G30" s="12" t="n">
        <f aca="false">-Varsayımlar!$B$26*(1+Varsayımlar!$B$11)^G$5</f>
        <v>-15000</v>
      </c>
      <c r="H30" s="12" t="n">
        <f aca="false">-Varsayımlar!$B$26*(1+Varsayımlar!$B$11)^H$5</f>
        <v>-15000</v>
      </c>
      <c r="I30" s="12" t="n">
        <f aca="false">-Varsayımlar!$B$26*(1+Varsayımlar!$B$11)^I$5</f>
        <v>-15000</v>
      </c>
      <c r="J30" s="12" t="n">
        <f aca="false">-Varsayımlar!$B$26*(1+Varsayımlar!$B$11)^J$5</f>
        <v>-15000</v>
      </c>
      <c r="K30" s="12" t="n">
        <f aca="false">-Varsayımlar!$B$26*(1+Varsayımlar!$B$11)^K$5</f>
        <v>-15000</v>
      </c>
      <c r="L30" s="12" t="n">
        <f aca="false">-Varsayımlar!$B$26*(1+Varsayımlar!$B$11)^L$5</f>
        <v>-15000</v>
      </c>
      <c r="M30" s="12" t="n">
        <f aca="false">-Varsayımlar!$B$26*(1+Varsayımlar!$B$11)^M$5</f>
        <v>-15000</v>
      </c>
      <c r="N30" s="12" t="n">
        <f aca="false">-Varsayımlar!$B$26*(1+Varsayımlar!$B$11)^N$5</f>
        <v>-15000</v>
      </c>
      <c r="O30" s="12" t="n">
        <f aca="false">-Varsayımlar!$B$26*(1+Varsayımlar!$B$11)^O$5</f>
        <v>-15000</v>
      </c>
      <c r="P30" s="12" t="n">
        <f aca="false">-Varsayımlar!$B$26*(1+Varsayımlar!$B$11)^P$5</f>
        <v>-15000</v>
      </c>
      <c r="Q30" s="12" t="n">
        <f aca="false">-Varsayımlar!$B$26*(1+Varsayımlar!$B$11)^Q$5</f>
        <v>-15000</v>
      </c>
      <c r="R30" s="12" t="n">
        <f aca="false">-Varsayımlar!$B$26*(1+Varsayımlar!$B$11)^R$5</f>
        <v>-15000</v>
      </c>
      <c r="S30" s="12" t="n">
        <f aca="false">-Varsayımlar!$B$26*(1+Varsayımlar!$B$11)^S$5</f>
        <v>-15000</v>
      </c>
      <c r="T30" s="12" t="n">
        <f aca="false">-Varsayımlar!$B$26*(1+Varsayımlar!$B$11)^T$5</f>
        <v>-15000</v>
      </c>
      <c r="U30" s="12" t="n">
        <f aca="false">-Varsayımlar!$B$26*(1+Varsayımlar!$B$11)^U$5</f>
        <v>-15000</v>
      </c>
      <c r="V30" s="12" t="n">
        <f aca="false">-Varsayımlar!$B$26*(1+Varsayımlar!$B$11)^V$5</f>
        <v>-15000</v>
      </c>
      <c r="W30" s="12" t="n">
        <f aca="false">-Varsayımlar!$B$26*(1+Varsayımlar!$B$11)^W$5</f>
        <v>-15000</v>
      </c>
      <c r="X30" s="12" t="n">
        <f aca="false">-Varsayımlar!$B$26*(1+Varsayımlar!$B$11)^X$5</f>
        <v>-15000</v>
      </c>
      <c r="Y30" s="12" t="n">
        <f aca="false">-Varsayımlar!$B$26*(1+Varsayımlar!$B$11)^Y$5</f>
        <v>-15000</v>
      </c>
      <c r="Z30" s="12" t="n">
        <f aca="false">-Varsayımlar!$B$26*(1+Varsayımlar!$B$11)^Z$5</f>
        <v>-15000</v>
      </c>
      <c r="AA30" s="12" t="n">
        <f aca="false">-Varsayımlar!$B$26*(1+Varsayımlar!$B$11)^AA$5</f>
        <v>-15000</v>
      </c>
      <c r="AB30" s="12" t="n">
        <f aca="false">-Varsayımlar!$B$26*(1+Varsayımlar!$B$11)^AB$5</f>
        <v>-15000</v>
      </c>
      <c r="AC30" s="12" t="n">
        <f aca="false">-Varsayımlar!$B$26*(1+Varsayımlar!$B$11)^AC$5</f>
        <v>-15000</v>
      </c>
      <c r="AD30" s="12" t="n">
        <f aca="false">-Varsayımlar!$B$26*(1+Varsayımlar!$B$11)^AD$5</f>
        <v>-15000</v>
      </c>
      <c r="AE30" s="12" t="n">
        <f aca="false">-Varsayımlar!$B$26*(1+Varsayımlar!$B$11)^AE$5</f>
        <v>-15000</v>
      </c>
      <c r="AF30" s="12" t="n">
        <f aca="false">-Varsayımlar!$B$26*(1+Varsayımlar!$B$11)^AF$5</f>
        <v>-15000</v>
      </c>
      <c r="AG30" s="12" t="n">
        <f aca="false">-Varsayımlar!$B$26*(1+Varsayımlar!$B$11)^AG$5</f>
        <v>-15000</v>
      </c>
      <c r="AH30" s="12" t="n">
        <f aca="false">-Varsayımlar!$B$26*(1+Varsayımlar!$B$11)^AH$5</f>
        <v>-15000</v>
      </c>
      <c r="AI30" s="12" t="n">
        <f aca="false">-Varsayımlar!$B$26*(1+Varsayımlar!$B$11)^AI$5</f>
        <v>-15000</v>
      </c>
      <c r="AJ30" s="12" t="n">
        <f aca="false">-Varsayımlar!$B$26*(1+Varsayımlar!$B$11)^AJ$5</f>
        <v>-15000</v>
      </c>
      <c r="AK30" s="12" t="n">
        <f aca="false">-Varsayımlar!$B$26*(1+Varsayımlar!$B$11)^AK$5</f>
        <v>-15000</v>
      </c>
      <c r="AL30" s="21" t="n">
        <f aca="false">SUM(B30:AK30)</f>
        <v>-540000</v>
      </c>
    </row>
    <row r="31" customFormat="false" ht="15" hidden="false" customHeight="false" outlineLevel="0" collapsed="false">
      <c r="A31" s="5" t="s">
        <v>287</v>
      </c>
      <c r="B31" s="12" t="n">
        <f aca="false">-Varsayımlar!$B$27*(1+Varsayımlar!$B$11)^B$5</f>
        <v>-30000</v>
      </c>
      <c r="C31" s="12" t="n">
        <f aca="false">-Varsayımlar!$B$27*(1+Varsayımlar!$B$11)^C$5</f>
        <v>-30000</v>
      </c>
      <c r="D31" s="12" t="n">
        <f aca="false">-Varsayımlar!$B$27*(1+Varsayımlar!$B$11)^D$5</f>
        <v>-30000</v>
      </c>
      <c r="E31" s="12" t="n">
        <f aca="false">-Varsayımlar!$B$27*(1+Varsayımlar!$B$11)^E$5</f>
        <v>-30000</v>
      </c>
      <c r="F31" s="12" t="n">
        <f aca="false">-Varsayımlar!$B$27*(1+Varsayımlar!$B$11)^F$5</f>
        <v>-30000</v>
      </c>
      <c r="G31" s="12" t="n">
        <f aca="false">-Varsayımlar!$B$27*(1+Varsayımlar!$B$11)^G$5</f>
        <v>-30000</v>
      </c>
      <c r="H31" s="12" t="n">
        <f aca="false">-Varsayımlar!$B$27*(1+Varsayımlar!$B$11)^H$5</f>
        <v>-30000</v>
      </c>
      <c r="I31" s="12" t="n">
        <f aca="false">-Varsayımlar!$B$27*(1+Varsayımlar!$B$11)^I$5</f>
        <v>-30000</v>
      </c>
      <c r="J31" s="12" t="n">
        <f aca="false">-Varsayımlar!$B$27*(1+Varsayımlar!$B$11)^J$5</f>
        <v>-30000</v>
      </c>
      <c r="K31" s="12" t="n">
        <f aca="false">-Varsayımlar!$B$27*(1+Varsayımlar!$B$11)^K$5</f>
        <v>-30000</v>
      </c>
      <c r="L31" s="12" t="n">
        <f aca="false">-Varsayımlar!$B$27*(1+Varsayımlar!$B$11)^L$5</f>
        <v>-30000</v>
      </c>
      <c r="M31" s="12" t="n">
        <f aca="false">-Varsayımlar!$B$27*(1+Varsayımlar!$B$11)^M$5</f>
        <v>-30000</v>
      </c>
      <c r="N31" s="12" t="n">
        <f aca="false">-Varsayımlar!$B$27*(1+Varsayımlar!$B$11)^N$5</f>
        <v>-30000</v>
      </c>
      <c r="O31" s="12" t="n">
        <f aca="false">-Varsayımlar!$B$27*(1+Varsayımlar!$B$11)^O$5</f>
        <v>-30000</v>
      </c>
      <c r="P31" s="12" t="n">
        <f aca="false">-Varsayımlar!$B$27*(1+Varsayımlar!$B$11)^P$5</f>
        <v>-30000</v>
      </c>
      <c r="Q31" s="12" t="n">
        <f aca="false">-Varsayımlar!$B$27*(1+Varsayımlar!$B$11)^Q$5</f>
        <v>-30000</v>
      </c>
      <c r="R31" s="12" t="n">
        <f aca="false">-Varsayımlar!$B$27*(1+Varsayımlar!$B$11)^R$5</f>
        <v>-30000</v>
      </c>
      <c r="S31" s="12" t="n">
        <f aca="false">-Varsayımlar!$B$27*(1+Varsayımlar!$B$11)^S$5</f>
        <v>-30000</v>
      </c>
      <c r="T31" s="12" t="n">
        <f aca="false">-Varsayımlar!$B$27*(1+Varsayımlar!$B$11)^T$5</f>
        <v>-30000</v>
      </c>
      <c r="U31" s="12" t="n">
        <f aca="false">-Varsayımlar!$B$27*(1+Varsayımlar!$B$11)^U$5</f>
        <v>-30000</v>
      </c>
      <c r="V31" s="12" t="n">
        <f aca="false">-Varsayımlar!$B$27*(1+Varsayımlar!$B$11)^V$5</f>
        <v>-30000</v>
      </c>
      <c r="W31" s="12" t="n">
        <f aca="false">-Varsayımlar!$B$27*(1+Varsayımlar!$B$11)^W$5</f>
        <v>-30000</v>
      </c>
      <c r="X31" s="12" t="n">
        <f aca="false">-Varsayımlar!$B$27*(1+Varsayımlar!$B$11)^X$5</f>
        <v>-30000</v>
      </c>
      <c r="Y31" s="12" t="n">
        <f aca="false">-Varsayımlar!$B$27*(1+Varsayımlar!$B$11)^Y$5</f>
        <v>-30000</v>
      </c>
      <c r="Z31" s="12" t="n">
        <f aca="false">-Varsayımlar!$B$27*(1+Varsayımlar!$B$11)^Z$5</f>
        <v>-30000</v>
      </c>
      <c r="AA31" s="12" t="n">
        <f aca="false">-Varsayımlar!$B$27*(1+Varsayımlar!$B$11)^AA$5</f>
        <v>-30000</v>
      </c>
      <c r="AB31" s="12" t="n">
        <f aca="false">-Varsayımlar!$B$27*(1+Varsayımlar!$B$11)^AB$5</f>
        <v>-30000</v>
      </c>
      <c r="AC31" s="12" t="n">
        <f aca="false">-Varsayımlar!$B$27*(1+Varsayımlar!$B$11)^AC$5</f>
        <v>-30000</v>
      </c>
      <c r="AD31" s="12" t="n">
        <f aca="false">-Varsayımlar!$B$27*(1+Varsayımlar!$B$11)^AD$5</f>
        <v>-30000</v>
      </c>
      <c r="AE31" s="12" t="n">
        <f aca="false">-Varsayımlar!$B$27*(1+Varsayımlar!$B$11)^AE$5</f>
        <v>-30000</v>
      </c>
      <c r="AF31" s="12" t="n">
        <f aca="false">-Varsayımlar!$B$27*(1+Varsayımlar!$B$11)^AF$5</f>
        <v>-30000</v>
      </c>
      <c r="AG31" s="12" t="n">
        <f aca="false">-Varsayımlar!$B$27*(1+Varsayımlar!$B$11)^AG$5</f>
        <v>-30000</v>
      </c>
      <c r="AH31" s="12" t="n">
        <f aca="false">-Varsayımlar!$B$27*(1+Varsayımlar!$B$11)^AH$5</f>
        <v>-30000</v>
      </c>
      <c r="AI31" s="12" t="n">
        <f aca="false">-Varsayımlar!$B$27*(1+Varsayımlar!$B$11)^AI$5</f>
        <v>-30000</v>
      </c>
      <c r="AJ31" s="12" t="n">
        <f aca="false">-Varsayımlar!$B$27*(1+Varsayımlar!$B$11)^AJ$5</f>
        <v>-30000</v>
      </c>
      <c r="AK31" s="12" t="n">
        <f aca="false">-Varsayımlar!$B$27*(1+Varsayımlar!$B$11)^AK$5</f>
        <v>-30000</v>
      </c>
      <c r="AL31" s="21" t="n">
        <f aca="false">SUM(B31:AK31)</f>
        <v>-1080000</v>
      </c>
    </row>
    <row r="32" customFormat="false" ht="15" hidden="false" customHeight="false" outlineLevel="0" collapsed="false">
      <c r="A32" s="5" t="s">
        <v>288</v>
      </c>
      <c r="B32" s="12" t="n">
        <f aca="false">-Varsayımlar!$B$28*(1+Varsayımlar!$B$11)^B$5</f>
        <v>-2000</v>
      </c>
      <c r="C32" s="12" t="n">
        <f aca="false">-Varsayımlar!$B$28*(1+Varsayımlar!$B$11)^C$5</f>
        <v>-2000</v>
      </c>
      <c r="D32" s="12" t="n">
        <f aca="false">-Varsayımlar!$B$28*(1+Varsayımlar!$B$11)^D$5</f>
        <v>-2000</v>
      </c>
      <c r="E32" s="12" t="n">
        <f aca="false">-Varsayımlar!$B$28*(1+Varsayımlar!$B$11)^E$5</f>
        <v>-2000</v>
      </c>
      <c r="F32" s="12" t="n">
        <f aca="false">-Varsayımlar!$B$28*(1+Varsayımlar!$B$11)^F$5</f>
        <v>-2000</v>
      </c>
      <c r="G32" s="12" t="n">
        <f aca="false">-Varsayımlar!$B$28*(1+Varsayımlar!$B$11)^G$5</f>
        <v>-2000</v>
      </c>
      <c r="H32" s="12" t="n">
        <f aca="false">-Varsayımlar!$B$28*(1+Varsayımlar!$B$11)^H$5</f>
        <v>-2000</v>
      </c>
      <c r="I32" s="12" t="n">
        <f aca="false">-Varsayımlar!$B$28*(1+Varsayımlar!$B$11)^I$5</f>
        <v>-2000</v>
      </c>
      <c r="J32" s="12" t="n">
        <f aca="false">-Varsayımlar!$B$28*(1+Varsayımlar!$B$11)^J$5</f>
        <v>-2000</v>
      </c>
      <c r="K32" s="12" t="n">
        <f aca="false">-Varsayımlar!$B$28*(1+Varsayımlar!$B$11)^K$5</f>
        <v>-2000</v>
      </c>
      <c r="L32" s="12" t="n">
        <f aca="false">-Varsayımlar!$B$28*(1+Varsayımlar!$B$11)^L$5</f>
        <v>-2000</v>
      </c>
      <c r="M32" s="12" t="n">
        <f aca="false">-Varsayımlar!$B$28*(1+Varsayımlar!$B$11)^M$5</f>
        <v>-2000</v>
      </c>
      <c r="N32" s="12" t="n">
        <f aca="false">-Varsayımlar!$B$28*(1+Varsayımlar!$B$11)^N$5</f>
        <v>-2000</v>
      </c>
      <c r="O32" s="12" t="n">
        <f aca="false">-Varsayımlar!$B$28*(1+Varsayımlar!$B$11)^O$5</f>
        <v>-2000</v>
      </c>
      <c r="P32" s="12" t="n">
        <f aca="false">-Varsayımlar!$B$28*(1+Varsayımlar!$B$11)^P$5</f>
        <v>-2000</v>
      </c>
      <c r="Q32" s="12" t="n">
        <f aca="false">-Varsayımlar!$B$28*(1+Varsayımlar!$B$11)^Q$5</f>
        <v>-2000</v>
      </c>
      <c r="R32" s="12" t="n">
        <f aca="false">-Varsayımlar!$B$28*(1+Varsayımlar!$B$11)^R$5</f>
        <v>-2000</v>
      </c>
      <c r="S32" s="12" t="n">
        <f aca="false">-Varsayımlar!$B$28*(1+Varsayımlar!$B$11)^S$5</f>
        <v>-2000</v>
      </c>
      <c r="T32" s="12" t="n">
        <f aca="false">-Varsayımlar!$B$28*(1+Varsayımlar!$B$11)^T$5</f>
        <v>-2000</v>
      </c>
      <c r="U32" s="12" t="n">
        <f aca="false">-Varsayımlar!$B$28*(1+Varsayımlar!$B$11)^U$5</f>
        <v>-2000</v>
      </c>
      <c r="V32" s="12" t="n">
        <f aca="false">-Varsayımlar!$B$28*(1+Varsayımlar!$B$11)^V$5</f>
        <v>-2000</v>
      </c>
      <c r="W32" s="12" t="n">
        <f aca="false">-Varsayımlar!$B$28*(1+Varsayımlar!$B$11)^W$5</f>
        <v>-2000</v>
      </c>
      <c r="X32" s="12" t="n">
        <f aca="false">-Varsayımlar!$B$28*(1+Varsayımlar!$B$11)^X$5</f>
        <v>-2000</v>
      </c>
      <c r="Y32" s="12" t="n">
        <f aca="false">-Varsayımlar!$B$28*(1+Varsayımlar!$B$11)^Y$5</f>
        <v>-2000</v>
      </c>
      <c r="Z32" s="12" t="n">
        <f aca="false">-Varsayımlar!$B$28*(1+Varsayımlar!$B$11)^Z$5</f>
        <v>-2000</v>
      </c>
      <c r="AA32" s="12" t="n">
        <f aca="false">-Varsayımlar!$B$28*(1+Varsayımlar!$B$11)^AA$5</f>
        <v>-2000</v>
      </c>
      <c r="AB32" s="12" t="n">
        <f aca="false">-Varsayımlar!$B$28*(1+Varsayımlar!$B$11)^AB$5</f>
        <v>-2000</v>
      </c>
      <c r="AC32" s="12" t="n">
        <f aca="false">-Varsayımlar!$B$28*(1+Varsayımlar!$B$11)^AC$5</f>
        <v>-2000</v>
      </c>
      <c r="AD32" s="12" t="n">
        <f aca="false">-Varsayımlar!$B$28*(1+Varsayımlar!$B$11)^AD$5</f>
        <v>-2000</v>
      </c>
      <c r="AE32" s="12" t="n">
        <f aca="false">-Varsayımlar!$B$28*(1+Varsayımlar!$B$11)^AE$5</f>
        <v>-2000</v>
      </c>
      <c r="AF32" s="12" t="n">
        <f aca="false">-Varsayımlar!$B$28*(1+Varsayımlar!$B$11)^AF$5</f>
        <v>-2000</v>
      </c>
      <c r="AG32" s="12" t="n">
        <f aca="false">-Varsayımlar!$B$28*(1+Varsayımlar!$B$11)^AG$5</f>
        <v>-2000</v>
      </c>
      <c r="AH32" s="12" t="n">
        <f aca="false">-Varsayımlar!$B$28*(1+Varsayımlar!$B$11)^AH$5</f>
        <v>-2000</v>
      </c>
      <c r="AI32" s="12" t="n">
        <f aca="false">-Varsayımlar!$B$28*(1+Varsayımlar!$B$11)^AI$5</f>
        <v>-2000</v>
      </c>
      <c r="AJ32" s="12" t="n">
        <f aca="false">-Varsayımlar!$B$28*(1+Varsayımlar!$B$11)^AJ$5</f>
        <v>-2000</v>
      </c>
      <c r="AK32" s="12" t="n">
        <f aca="false">-Varsayımlar!$B$28*(1+Varsayımlar!$B$11)^AK$5</f>
        <v>-2000</v>
      </c>
      <c r="AL32" s="21" t="n">
        <f aca="false">SUM(B32:AK32)</f>
        <v>-72000</v>
      </c>
    </row>
    <row r="33" customFormat="false" ht="15" hidden="false" customHeight="false" outlineLevel="0" collapsed="false">
      <c r="A33" s="8" t="s">
        <v>289</v>
      </c>
      <c r="B33" s="12" t="n">
        <f aca="false">SUM(B18:B32)</f>
        <v>-411000</v>
      </c>
      <c r="C33" s="12" t="n">
        <f aca="false">SUM(C18:C32)</f>
        <v>-411000</v>
      </c>
      <c r="D33" s="12" t="n">
        <f aca="false">SUM(D18:D32)</f>
        <v>-411000</v>
      </c>
      <c r="E33" s="12" t="n">
        <f aca="false">SUM(E18:E32)</f>
        <v>-411000</v>
      </c>
      <c r="F33" s="12" t="n">
        <f aca="false">SUM(F18:F32)</f>
        <v>-411000</v>
      </c>
      <c r="G33" s="12" t="n">
        <f aca="false">SUM(G18:G32)</f>
        <v>-411000</v>
      </c>
      <c r="H33" s="12" t="n">
        <f aca="false">SUM(H18:H32)</f>
        <v>-411000</v>
      </c>
      <c r="I33" s="12" t="n">
        <f aca="false">SUM(I18:I32)</f>
        <v>-411000</v>
      </c>
      <c r="J33" s="12" t="n">
        <f aca="false">SUM(J18:J32)</f>
        <v>-411000</v>
      </c>
      <c r="K33" s="12" t="n">
        <f aca="false">SUM(K18:K32)</f>
        <v>-411000</v>
      </c>
      <c r="L33" s="12" t="n">
        <f aca="false">SUM(L18:L32)</f>
        <v>-411000</v>
      </c>
      <c r="M33" s="12" t="n">
        <f aca="false">SUM(M18:M32)</f>
        <v>-411000</v>
      </c>
      <c r="N33" s="12" t="n">
        <f aca="false">SUM(N18:N32)</f>
        <v>-411000</v>
      </c>
      <c r="O33" s="12" t="n">
        <f aca="false">SUM(O18:O32)</f>
        <v>-411000</v>
      </c>
      <c r="P33" s="12" t="n">
        <f aca="false">SUM(P18:P32)</f>
        <v>-411000</v>
      </c>
      <c r="Q33" s="12" t="n">
        <f aca="false">SUM(Q18:Q32)</f>
        <v>-411000</v>
      </c>
      <c r="R33" s="12" t="n">
        <f aca="false">SUM(R18:R32)</f>
        <v>-411000</v>
      </c>
      <c r="S33" s="12" t="n">
        <f aca="false">SUM(S18:S32)</f>
        <v>-411000</v>
      </c>
      <c r="T33" s="12" t="n">
        <f aca="false">SUM(T18:T32)</f>
        <v>-411000</v>
      </c>
      <c r="U33" s="12" t="n">
        <f aca="false">SUM(U18:U32)</f>
        <v>-411000</v>
      </c>
      <c r="V33" s="12" t="n">
        <f aca="false">SUM(V18:V32)</f>
        <v>-411000</v>
      </c>
      <c r="W33" s="12" t="n">
        <f aca="false">SUM(W18:W32)</f>
        <v>-411000</v>
      </c>
      <c r="X33" s="12" t="n">
        <f aca="false">SUM(X18:X32)</f>
        <v>-411000</v>
      </c>
      <c r="Y33" s="12" t="n">
        <f aca="false">SUM(Y18:Y32)</f>
        <v>-411000</v>
      </c>
      <c r="Z33" s="12" t="n">
        <f aca="false">SUM(Z18:Z32)</f>
        <v>-411000</v>
      </c>
      <c r="AA33" s="12" t="n">
        <f aca="false">SUM(AA18:AA32)</f>
        <v>-411000</v>
      </c>
      <c r="AB33" s="12" t="n">
        <f aca="false">SUM(AB18:AB32)</f>
        <v>-411000</v>
      </c>
      <c r="AC33" s="12" t="n">
        <f aca="false">SUM(AC18:AC32)</f>
        <v>-411000</v>
      </c>
      <c r="AD33" s="12" t="n">
        <f aca="false">SUM(AD18:AD32)</f>
        <v>-411000</v>
      </c>
      <c r="AE33" s="12" t="n">
        <f aca="false">SUM(AE18:AE32)</f>
        <v>-411000</v>
      </c>
      <c r="AF33" s="12" t="n">
        <f aca="false">SUM(AF18:AF32)</f>
        <v>-411000</v>
      </c>
      <c r="AG33" s="12" t="n">
        <f aca="false">SUM(AG18:AG32)</f>
        <v>-411000</v>
      </c>
      <c r="AH33" s="12" t="n">
        <f aca="false">SUM(AH18:AH32)</f>
        <v>-411000</v>
      </c>
      <c r="AI33" s="12" t="n">
        <f aca="false">SUM(AI18:AI32)</f>
        <v>-411000</v>
      </c>
      <c r="AJ33" s="12" t="n">
        <f aca="false">SUM(AJ18:AJ32)</f>
        <v>-411000</v>
      </c>
      <c r="AK33" s="12" t="n">
        <f aca="false">SUM(AK18:AK32)</f>
        <v>-411000</v>
      </c>
      <c r="AL33" s="21" t="n">
        <f aca="false">SUM(B33:AK33)</f>
        <v>-14796000</v>
      </c>
    </row>
    <row r="34" customFormat="false" ht="15" hidden="false" customHeight="false" outlineLevel="0" collapsed="false">
      <c r="A34" s="8" t="s">
        <v>290</v>
      </c>
      <c r="B34" s="21" t="n">
        <f aca="false">B14+B33</f>
        <v>409000</v>
      </c>
      <c r="C34" s="21" t="n">
        <f aca="false">C14+C33</f>
        <v>409000</v>
      </c>
      <c r="D34" s="21" t="n">
        <f aca="false">D14+D33</f>
        <v>409000</v>
      </c>
      <c r="E34" s="21" t="n">
        <f aca="false">E14+E33</f>
        <v>409000</v>
      </c>
      <c r="F34" s="21" t="n">
        <f aca="false">F14+F33</f>
        <v>409000</v>
      </c>
      <c r="G34" s="21" t="n">
        <f aca="false">G14+G33</f>
        <v>409000</v>
      </c>
      <c r="H34" s="21" t="n">
        <f aca="false">H14+H33</f>
        <v>409000</v>
      </c>
      <c r="I34" s="21" t="n">
        <f aca="false">I14+I33</f>
        <v>409000</v>
      </c>
      <c r="J34" s="21" t="n">
        <f aca="false">J14+J33</f>
        <v>409000</v>
      </c>
      <c r="K34" s="21" t="n">
        <f aca="false">K14+K33</f>
        <v>409000</v>
      </c>
      <c r="L34" s="21" t="n">
        <f aca="false">L14+L33</f>
        <v>409000</v>
      </c>
      <c r="M34" s="21" t="n">
        <f aca="false">M14+M33</f>
        <v>409000</v>
      </c>
      <c r="N34" s="21" t="n">
        <f aca="false">N14+N33</f>
        <v>409000</v>
      </c>
      <c r="O34" s="21" t="n">
        <f aca="false">O14+O33</f>
        <v>409000</v>
      </c>
      <c r="P34" s="21" t="n">
        <f aca="false">P14+P33</f>
        <v>409000</v>
      </c>
      <c r="Q34" s="21" t="n">
        <f aca="false">Q14+Q33</f>
        <v>409000</v>
      </c>
      <c r="R34" s="21" t="n">
        <f aca="false">R14+R33</f>
        <v>409000</v>
      </c>
      <c r="S34" s="21" t="n">
        <f aca="false">S14+S33</f>
        <v>409000</v>
      </c>
      <c r="T34" s="21" t="n">
        <f aca="false">T14+T33</f>
        <v>409000</v>
      </c>
      <c r="U34" s="21" t="n">
        <f aca="false">U14+U33</f>
        <v>409000</v>
      </c>
      <c r="V34" s="21" t="n">
        <f aca="false">V14+V33</f>
        <v>409000</v>
      </c>
      <c r="W34" s="21" t="n">
        <f aca="false">W14+W33</f>
        <v>409000</v>
      </c>
      <c r="X34" s="21" t="n">
        <f aca="false">X14+X33</f>
        <v>409000</v>
      </c>
      <c r="Y34" s="21" t="n">
        <f aca="false">Y14+Y33</f>
        <v>409000</v>
      </c>
      <c r="Z34" s="21" t="n">
        <f aca="false">Z14+Z33</f>
        <v>409000</v>
      </c>
      <c r="AA34" s="21" t="n">
        <f aca="false">AA14+AA33</f>
        <v>409000</v>
      </c>
      <c r="AB34" s="21" t="n">
        <f aca="false">AB14+AB33</f>
        <v>409000</v>
      </c>
      <c r="AC34" s="21" t="n">
        <f aca="false">AC14+AC33</f>
        <v>409000</v>
      </c>
      <c r="AD34" s="21" t="n">
        <f aca="false">AD14+AD33</f>
        <v>409000</v>
      </c>
      <c r="AE34" s="21" t="n">
        <f aca="false">AE14+AE33</f>
        <v>409000</v>
      </c>
      <c r="AF34" s="21" t="n">
        <f aca="false">AF14+AF33</f>
        <v>409000</v>
      </c>
      <c r="AG34" s="21" t="n">
        <f aca="false">AG14+AG33</f>
        <v>409000</v>
      </c>
      <c r="AH34" s="21" t="n">
        <f aca="false">AH14+AH33</f>
        <v>409000</v>
      </c>
      <c r="AI34" s="21" t="n">
        <f aca="false">AI14+AI33</f>
        <v>409000</v>
      </c>
      <c r="AJ34" s="21" t="n">
        <f aca="false">AJ14+AJ33</f>
        <v>409000</v>
      </c>
      <c r="AK34" s="21" t="n">
        <f aca="false">AK14+AK33</f>
        <v>409000</v>
      </c>
      <c r="AL34" s="21" t="n">
        <f aca="false">SUM(B34:AK34)</f>
        <v>14724000</v>
      </c>
    </row>
    <row r="36" customFormat="false" ht="15" hidden="false" customHeight="false" outlineLevel="0" collapsed="false">
      <c r="A36" s="5" t="s">
        <v>291</v>
      </c>
      <c r="B36" s="6" t="n">
        <f aca="false">-INDEX('Kredi Takvimi'!$Z$4:$Z$40,MATCH(B$4,'Kredi Takvimi'!$A$4:$A$40,0))</f>
        <v>-209225.748597433</v>
      </c>
      <c r="C36" s="6" t="n">
        <f aca="false">-INDEX('Kredi Takvimi'!$Z$4:$Z$40,MATCH(C$4,'Kredi Takvimi'!$A$4:$A$40,0))</f>
        <v>-205472.351284908</v>
      </c>
      <c r="D36" s="6" t="n">
        <f aca="false">-INDEX('Kredi Takvimi'!$Z$4:$Z$40,MATCH(D$4,'Kredi Takvimi'!$A$4:$A$40,0))</f>
        <v>-201022.984852024</v>
      </c>
      <c r="E36" s="6" t="n">
        <f aca="false">-INDEX('Kredi Takvimi'!$Z$4:$Z$40,MATCH(E$4,'Kredi Takvimi'!$A$4:$A$40,0))</f>
        <v>-196341.793762385</v>
      </c>
      <c r="F36" s="6" t="n">
        <f aca="false">-INDEX('Kredi Takvimi'!$Z$4:$Z$40,MATCH(F$4,'Kredi Takvimi'!$A$4:$A$40,0))</f>
        <v>-192418.619821118</v>
      </c>
      <c r="G36" s="6" t="n">
        <f aca="false">-INDEX('Kredi Takvimi'!$Z$4:$Z$40,MATCH(G$4,'Kredi Takvimi'!$A$4:$A$40,0))</f>
        <v>-186164.699899582</v>
      </c>
      <c r="H36" s="6" t="n">
        <f aca="false">-INDEX('Kredi Takvimi'!$Z$4:$Z$40,MATCH(H$4,'Kredi Takvimi'!$A$4:$A$40,0))</f>
        <v>-182188.743577471</v>
      </c>
      <c r="I36" s="6" t="n">
        <f aca="false">-INDEX('Kredi Takvimi'!$Z$4:$Z$40,MATCH(I$4,'Kredi Takvimi'!$A$4:$A$40,0))</f>
        <v>-178408.920699282</v>
      </c>
      <c r="J36" s="6" t="n">
        <f aca="false">-INDEX('Kredi Takvimi'!$Z$4:$Z$40,MATCH(J$4,'Kredi Takvimi'!$A$4:$A$40,0))</f>
        <v>-171461.338842061</v>
      </c>
      <c r="K36" s="6" t="n">
        <f aca="false">-INDEX('Kredi Takvimi'!$Z$4:$Z$40,MATCH(K$4,'Kredi Takvimi'!$A$4:$A$40,0))</f>
        <v>-166496.120691191</v>
      </c>
      <c r="L36" s="6" t="n">
        <f aca="false">-INDEX('Kredi Takvimi'!$Z$4:$Z$40,MATCH(L$4,'Kredi Takvimi'!$A$4:$A$40,0))</f>
        <v>-161306.201320894</v>
      </c>
      <c r="M36" s="6" t="n">
        <f aca="false">-INDEX('Kredi Takvimi'!$Z$4:$Z$40,MATCH(M$4,'Kredi Takvimi'!$A$4:$A$40,0))</f>
        <v>-155588.635375977</v>
      </c>
      <c r="N36" s="6" t="n">
        <f aca="false">-INDEX('Kredi Takvimi'!$Z$4:$Z$40,MATCH(N$4,'Kredi Takvimi'!$A$4:$A$40,0))</f>
        <v>-149657.974151241</v>
      </c>
      <c r="O36" s="6" t="n">
        <f aca="false">-INDEX('Kredi Takvimi'!$Z$4:$Z$40,MATCH(O$4,'Kredi Takvimi'!$A$4:$A$40,0))</f>
        <v>-144023.082564841</v>
      </c>
      <c r="P36" s="6" t="n">
        <f aca="false">-INDEX('Kredi Takvimi'!$Z$4:$Z$40,MATCH(P$4,'Kredi Takvimi'!$A$4:$A$40,0))</f>
        <v>-136693.466021729</v>
      </c>
      <c r="Q36" s="6" t="n">
        <f aca="false">-INDEX('Kredi Takvimi'!$Z$4:$Z$40,MATCH(Q$4,'Kredi Takvimi'!$A$4:$A$40,0))</f>
        <v>-130509.457163216</v>
      </c>
      <c r="R36" s="6" t="n">
        <f aca="false">-INDEX('Kredi Takvimi'!$Z$4:$Z$40,MATCH(R$4,'Kredi Takvimi'!$A$4:$A$40,0))</f>
        <v>-123825.932498495</v>
      </c>
      <c r="S36" s="6" t="n">
        <f aca="false">-INDEX('Kredi Takvimi'!$Z$4:$Z$40,MATCH(S$4,'Kredi Takvimi'!$A$4:$A$40,0))</f>
        <v>-116379.888913843</v>
      </c>
      <c r="T36" s="6" t="n">
        <f aca="false">-INDEX('Kredi Takvimi'!$Z$4:$Z$40,MATCH(T$4,'Kredi Takvimi'!$A$4:$A$40,0))</f>
        <v>-109136.020055069</v>
      </c>
      <c r="U36" s="6" t="n">
        <f aca="false">-INDEX('Kredi Takvimi'!$Z$4:$Z$40,MATCH(U$4,'Kredi Takvimi'!$A$4:$A$40,0))</f>
        <v>-101569.4725786</v>
      </c>
      <c r="V36" s="6" t="n">
        <f aca="false">-INDEX('Kredi Takvimi'!$Z$4:$Z$40,MATCH(V$4,'Kredi Takvimi'!$A$4:$A$40,0))</f>
        <v>-93464.7022664305</v>
      </c>
      <c r="W36" s="6" t="n">
        <f aca="false">-INDEX('Kredi Takvimi'!$Z$4:$Z$40,MATCH(W$4,'Kredi Takvimi'!$A$4:$A$40,0))</f>
        <v>-85280.07</v>
      </c>
      <c r="X36" s="6" t="n">
        <f aca="false">-INDEX('Kredi Takvimi'!$Z$4:$Z$40,MATCH(X$4,'Kredi Takvimi'!$A$4:$A$40,0))</f>
        <v>-79494.58</v>
      </c>
      <c r="Y36" s="6" t="n">
        <f aca="false">-INDEX('Kredi Takvimi'!$Z$4:$Z$40,MATCH(Y$4,'Kredi Takvimi'!$A$4:$A$40,0))</f>
        <v>-74494.75</v>
      </c>
      <c r="Z36" s="6" t="n">
        <f aca="false">-INDEX('Kredi Takvimi'!$Z$4:$Z$40,MATCH(Z$4,'Kredi Takvimi'!$A$4:$A$40,0))</f>
        <v>-69307.82</v>
      </c>
      <c r="AA36" s="6" t="n">
        <f aca="false">-INDEX('Kredi Takvimi'!$Z$4:$Z$40,MATCH(AA$4,'Kredi Takvimi'!$A$4:$A$40,0))</f>
        <v>-63926.81</v>
      </c>
      <c r="AB36" s="6" t="n">
        <f aca="false">-INDEX('Kredi Takvimi'!$Z$4:$Z$40,MATCH(AB$4,'Kredi Takvimi'!$A$4:$A$40,0))</f>
        <v>-58344.35</v>
      </c>
      <c r="AC36" s="6" t="n">
        <f aca="false">-INDEX('Kredi Takvimi'!$Z$4:$Z$40,MATCH(AC$4,'Kredi Takvimi'!$A$4:$A$40,0))</f>
        <v>-52552.91</v>
      </c>
      <c r="AD36" s="6" t="n">
        <f aca="false">-INDEX('Kredi Takvimi'!$Z$4:$Z$40,MATCH(AD$4,'Kredi Takvimi'!$A$4:$A$40,0))</f>
        <v>-46544.61</v>
      </c>
      <c r="AE36" s="6" t="n">
        <f aca="false">-INDEX('Kredi Takvimi'!$Z$4:$Z$40,MATCH(AE$4,'Kredi Takvimi'!$A$4:$A$40,0))</f>
        <v>-40311.27</v>
      </c>
      <c r="AF36" s="6" t="n">
        <f aca="false">-INDEX('Kredi Takvimi'!$Z$4:$Z$40,MATCH(AF$4,'Kredi Takvimi'!$A$4:$A$40,0))</f>
        <v>-33844.47</v>
      </c>
      <c r="AG36" s="6" t="n">
        <f aca="false">-INDEX('Kredi Takvimi'!$Z$4:$Z$40,MATCH(AG$4,'Kredi Takvimi'!$A$4:$A$40,0))</f>
        <v>-27902.49</v>
      </c>
      <c r="AH36" s="6" t="n">
        <f aca="false">-INDEX('Kredi Takvimi'!$Z$4:$Z$40,MATCH(AH$4,'Kredi Takvimi'!$A$4:$A$40,0))</f>
        <v>-21736.09</v>
      </c>
      <c r="AI36" s="6" t="n">
        <f aca="false">-INDEX('Kredi Takvimi'!$Z$4:$Z$40,MATCH(AI$4,'Kredi Takvimi'!$A$4:$A$40,0))</f>
        <v>-15336.78</v>
      </c>
      <c r="AJ36" s="6" t="n">
        <f aca="false">-INDEX('Kredi Takvimi'!$Z$4:$Z$40,MATCH(AJ$4,'Kredi Takvimi'!$A$4:$A$40,0))</f>
        <v>-10406.56</v>
      </c>
      <c r="AK36" s="6" t="n">
        <f aca="false">-INDEX('Kredi Takvimi'!$Z$4:$Z$40,MATCH(AK$4,'Kredi Takvimi'!$A$4:$A$40,0))</f>
        <v>-5296.48</v>
      </c>
      <c r="AL36" s="21" t="n">
        <f aca="false">SUM(B36:AK36)</f>
        <v>-3996136.19493779</v>
      </c>
    </row>
    <row r="37" customFormat="false" ht="15" hidden="false" customHeight="false" outlineLevel="0" collapsed="false">
      <c r="A37" s="5" t="s">
        <v>292</v>
      </c>
      <c r="B37" s="12" t="n">
        <f aca="false">B34+B36</f>
        <v>199774.251402567</v>
      </c>
      <c r="C37" s="12" t="n">
        <f aca="false">C34+C36</f>
        <v>203527.648715092</v>
      </c>
      <c r="D37" s="12" t="n">
        <f aca="false">D34+D36</f>
        <v>207977.015147976</v>
      </c>
      <c r="E37" s="12" t="n">
        <f aca="false">E34+E36</f>
        <v>212658.206237615</v>
      </c>
      <c r="F37" s="12" t="n">
        <f aca="false">F34+F36</f>
        <v>216581.380178882</v>
      </c>
      <c r="G37" s="12" t="n">
        <f aca="false">G34+G36</f>
        <v>222835.300100418</v>
      </c>
      <c r="H37" s="12" t="n">
        <f aca="false">H34+H36</f>
        <v>226811.256422529</v>
      </c>
      <c r="I37" s="12" t="n">
        <f aca="false">I34+I36</f>
        <v>230591.079300718</v>
      </c>
      <c r="J37" s="12" t="n">
        <f aca="false">J34+J36</f>
        <v>237538.661157939</v>
      </c>
      <c r="K37" s="12" t="n">
        <f aca="false">K34+K36</f>
        <v>242503.879308809</v>
      </c>
      <c r="L37" s="12" t="n">
        <f aca="false">L34+L36</f>
        <v>247693.798679106</v>
      </c>
      <c r="M37" s="12" t="n">
        <f aca="false">M34+M36</f>
        <v>253411.364624023</v>
      </c>
      <c r="N37" s="12" t="n">
        <f aca="false">N34+N36</f>
        <v>259342.025848759</v>
      </c>
      <c r="O37" s="12" t="n">
        <f aca="false">O34+O36</f>
        <v>264976.917435159</v>
      </c>
      <c r="P37" s="12" t="n">
        <f aca="false">P34+P36</f>
        <v>272306.533978271</v>
      </c>
      <c r="Q37" s="12" t="n">
        <f aca="false">Q34+Q36</f>
        <v>278490.542836784</v>
      </c>
      <c r="R37" s="12" t="n">
        <f aca="false">R34+R36</f>
        <v>285174.067501505</v>
      </c>
      <c r="S37" s="12" t="n">
        <f aca="false">S34+S36</f>
        <v>292620.111086157</v>
      </c>
      <c r="T37" s="12" t="n">
        <f aca="false">T34+T36</f>
        <v>299863.979944931</v>
      </c>
      <c r="U37" s="12" t="n">
        <f aca="false">U34+U36</f>
        <v>307430.5274214</v>
      </c>
      <c r="V37" s="12" t="n">
        <f aca="false">V34+V36</f>
        <v>315535.29773357</v>
      </c>
      <c r="W37" s="12" t="n">
        <f aca="false">W34+W36</f>
        <v>323719.93</v>
      </c>
      <c r="X37" s="12" t="n">
        <f aca="false">X34+X36</f>
        <v>329505.42</v>
      </c>
      <c r="Y37" s="12" t="n">
        <f aca="false">Y34+Y36</f>
        <v>334505.25</v>
      </c>
      <c r="Z37" s="12" t="n">
        <f aca="false">Z34+Z36</f>
        <v>339692.18</v>
      </c>
      <c r="AA37" s="12" t="n">
        <f aca="false">AA34+AA36</f>
        <v>345073.19</v>
      </c>
      <c r="AB37" s="12" t="n">
        <f aca="false">AB34+AB36</f>
        <v>350655.65</v>
      </c>
      <c r="AC37" s="12" t="n">
        <f aca="false">AC34+AC36</f>
        <v>356447.09</v>
      </c>
      <c r="AD37" s="12" t="n">
        <f aca="false">AD34+AD36</f>
        <v>362455.39</v>
      </c>
      <c r="AE37" s="12" t="n">
        <f aca="false">AE34+AE36</f>
        <v>368688.73</v>
      </c>
      <c r="AF37" s="12" t="n">
        <f aca="false">AF34+AF36</f>
        <v>375155.53</v>
      </c>
      <c r="AG37" s="12" t="n">
        <f aca="false">AG34+AG36</f>
        <v>381097.51</v>
      </c>
      <c r="AH37" s="12" t="n">
        <f aca="false">AH34+AH36</f>
        <v>387263.91</v>
      </c>
      <c r="AI37" s="12" t="n">
        <f aca="false">AI34+AI36</f>
        <v>393663.22</v>
      </c>
      <c r="AJ37" s="12" t="n">
        <f aca="false">AJ34+AJ36</f>
        <v>398593.44</v>
      </c>
      <c r="AK37" s="12" t="n">
        <f aca="false">AK34+AK36</f>
        <v>403703.52</v>
      </c>
      <c r="AL37" s="21" t="n">
        <f aca="false">SUM(B37:AK37)</f>
        <v>10727863.8050622</v>
      </c>
    </row>
    <row r="38" customFormat="false" ht="15" hidden="false" customHeight="false" outlineLevel="0" collapsed="false">
      <c r="A38" s="5" t="s">
        <v>10</v>
      </c>
      <c r="B38" s="12" t="n">
        <f aca="false">-MAX(0,B37)*Varsayımlar!$B$7</f>
        <v>-49943.5628506417</v>
      </c>
      <c r="C38" s="12" t="n">
        <f aca="false">-MAX(0,C37)*Varsayımlar!$B$7</f>
        <v>-50881.9121787729</v>
      </c>
      <c r="D38" s="12" t="n">
        <f aca="false">-MAX(0,D37)*Varsayımlar!$B$7</f>
        <v>-51994.253786994</v>
      </c>
      <c r="E38" s="12" t="n">
        <f aca="false">-MAX(0,E37)*Varsayımlar!$B$7</f>
        <v>-53164.5515594036</v>
      </c>
      <c r="F38" s="12" t="n">
        <f aca="false">-MAX(0,F37)*Varsayımlar!$B$7</f>
        <v>-54145.3450447206</v>
      </c>
      <c r="G38" s="12" t="n">
        <f aca="false">-MAX(0,G37)*Varsayımlar!$B$7</f>
        <v>-55708.8250251045</v>
      </c>
      <c r="H38" s="12" t="n">
        <f aca="false">-MAX(0,H37)*Varsayımlar!$B$7</f>
        <v>-56702.8141056322</v>
      </c>
      <c r="I38" s="12" t="n">
        <f aca="false">-MAX(0,I37)*Varsayımlar!$B$7</f>
        <v>-57647.7698251794</v>
      </c>
      <c r="J38" s="12" t="n">
        <f aca="false">-MAX(0,J37)*Varsayımlar!$B$7</f>
        <v>-59384.6652894848</v>
      </c>
      <c r="K38" s="12" t="n">
        <f aca="false">-MAX(0,K37)*Varsayımlar!$B$7</f>
        <v>-60625.9698272023</v>
      </c>
      <c r="L38" s="12" t="n">
        <f aca="false">-MAX(0,L37)*Varsayımlar!$B$7</f>
        <v>-61923.4496697766</v>
      </c>
      <c r="M38" s="12" t="n">
        <f aca="false">-MAX(0,M37)*Varsayımlar!$B$7</f>
        <v>-63352.8411560058</v>
      </c>
      <c r="N38" s="12" t="n">
        <f aca="false">-MAX(0,N37)*Varsayımlar!$B$7</f>
        <v>-64835.5064621896</v>
      </c>
      <c r="O38" s="12" t="n">
        <f aca="false">-MAX(0,O37)*Varsayımlar!$B$7</f>
        <v>-66244.2293587898</v>
      </c>
      <c r="P38" s="12" t="n">
        <f aca="false">-MAX(0,P37)*Varsayımlar!$B$7</f>
        <v>-68076.6334945678</v>
      </c>
      <c r="Q38" s="12" t="n">
        <f aca="false">-MAX(0,Q37)*Varsayımlar!$B$7</f>
        <v>-69622.6357091959</v>
      </c>
      <c r="R38" s="12" t="n">
        <f aca="false">-MAX(0,R37)*Varsayımlar!$B$7</f>
        <v>-71293.5168753761</v>
      </c>
      <c r="S38" s="12" t="n">
        <f aca="false">-MAX(0,S37)*Varsayımlar!$B$7</f>
        <v>-73155.0277715392</v>
      </c>
      <c r="T38" s="12" t="n">
        <f aca="false">-MAX(0,T37)*Varsayımlar!$B$7</f>
        <v>-74965.9949862327</v>
      </c>
      <c r="U38" s="12" t="n">
        <f aca="false">-MAX(0,U37)*Varsayımlar!$B$7</f>
        <v>-76857.63185535</v>
      </c>
      <c r="V38" s="12" t="n">
        <f aca="false">-MAX(0,V37)*Varsayımlar!$B$7</f>
        <v>-78883.8244333924</v>
      </c>
      <c r="W38" s="12" t="n">
        <f aca="false">-MAX(0,W37)*Varsayımlar!$B$7</f>
        <v>-80929.9825</v>
      </c>
      <c r="X38" s="12" t="n">
        <f aca="false">-MAX(0,X37)*Varsayımlar!$B$7</f>
        <v>-82376.355</v>
      </c>
      <c r="Y38" s="12" t="n">
        <f aca="false">-MAX(0,Y37)*Varsayımlar!$B$7</f>
        <v>-83626.3125</v>
      </c>
      <c r="Z38" s="12" t="n">
        <f aca="false">-MAX(0,Z37)*Varsayımlar!$B$7</f>
        <v>-84923.045</v>
      </c>
      <c r="AA38" s="12" t="n">
        <f aca="false">-MAX(0,AA37)*Varsayımlar!$B$7</f>
        <v>-86268.2975</v>
      </c>
      <c r="AB38" s="12" t="n">
        <f aca="false">-MAX(0,AB37)*Varsayımlar!$B$7</f>
        <v>-87663.9125</v>
      </c>
      <c r="AC38" s="12" t="n">
        <f aca="false">-MAX(0,AC37)*Varsayımlar!$B$7</f>
        <v>-89111.7725</v>
      </c>
      <c r="AD38" s="12" t="n">
        <f aca="false">-MAX(0,AD37)*Varsayımlar!$B$7</f>
        <v>-90613.8475</v>
      </c>
      <c r="AE38" s="12" t="n">
        <f aca="false">-MAX(0,AE37)*Varsayımlar!$B$7</f>
        <v>-92172.1825</v>
      </c>
      <c r="AF38" s="12" t="n">
        <f aca="false">-MAX(0,AF37)*Varsayımlar!$B$7</f>
        <v>-93788.8825</v>
      </c>
      <c r="AG38" s="12" t="n">
        <f aca="false">-MAX(0,AG37)*Varsayımlar!$B$7</f>
        <v>-95274.3775</v>
      </c>
      <c r="AH38" s="12" t="n">
        <f aca="false">-MAX(0,AH37)*Varsayımlar!$B$7</f>
        <v>-96815.9775</v>
      </c>
      <c r="AI38" s="12" t="n">
        <f aca="false">-MAX(0,AI37)*Varsayımlar!$B$7</f>
        <v>-98415.805</v>
      </c>
      <c r="AJ38" s="12" t="n">
        <f aca="false">-MAX(0,AJ37)*Varsayımlar!$B$7</f>
        <v>-99648.36</v>
      </c>
      <c r="AK38" s="12" t="n">
        <f aca="false">-MAX(0,AK37)*Varsayımlar!$B$7</f>
        <v>-100925.88</v>
      </c>
      <c r="AL38" s="21" t="n">
        <f aca="false">SUM(B38:AK38)</f>
        <v>-2681965.95126555</v>
      </c>
    </row>
    <row r="39" customFormat="false" ht="15" hidden="false" customHeight="false" outlineLevel="0" collapsed="false">
      <c r="A39" s="8" t="s">
        <v>293</v>
      </c>
      <c r="B39" s="21" t="n">
        <f aca="false">B37+B38</f>
        <v>149830.688551925</v>
      </c>
      <c r="C39" s="21" t="n">
        <f aca="false">C37+C38</f>
        <v>152645.736536319</v>
      </c>
      <c r="D39" s="21" t="n">
        <f aca="false">D37+D38</f>
        <v>155982.761360982</v>
      </c>
      <c r="E39" s="21" t="n">
        <f aca="false">E37+E38</f>
        <v>159493.654678211</v>
      </c>
      <c r="F39" s="21" t="n">
        <f aca="false">F37+F38</f>
        <v>162436.035134162</v>
      </c>
      <c r="G39" s="21" t="n">
        <f aca="false">G37+G38</f>
        <v>167126.475075313</v>
      </c>
      <c r="H39" s="21" t="n">
        <f aca="false">H37+H38</f>
        <v>170108.442316897</v>
      </c>
      <c r="I39" s="21" t="n">
        <f aca="false">I37+I38</f>
        <v>172943.309475538</v>
      </c>
      <c r="J39" s="21" t="n">
        <f aca="false">J37+J38</f>
        <v>178153.995868454</v>
      </c>
      <c r="K39" s="21" t="n">
        <f aca="false">K37+K38</f>
        <v>181877.909481607</v>
      </c>
      <c r="L39" s="21" t="n">
        <f aca="false">L37+L38</f>
        <v>185770.34900933</v>
      </c>
      <c r="M39" s="21" t="n">
        <f aca="false">M37+M38</f>
        <v>190058.523468018</v>
      </c>
      <c r="N39" s="21" t="n">
        <f aca="false">N37+N38</f>
        <v>194506.519386569</v>
      </c>
      <c r="O39" s="21" t="n">
        <f aca="false">O37+O38</f>
        <v>198732.68807637</v>
      </c>
      <c r="P39" s="21" t="n">
        <f aca="false">P37+P38</f>
        <v>204229.900483703</v>
      </c>
      <c r="Q39" s="21" t="n">
        <f aca="false">Q37+Q38</f>
        <v>208867.907127588</v>
      </c>
      <c r="R39" s="21" t="n">
        <f aca="false">R37+R38</f>
        <v>213880.550626128</v>
      </c>
      <c r="S39" s="21" t="n">
        <f aca="false">S37+S38</f>
        <v>219465.083314618</v>
      </c>
      <c r="T39" s="21" t="n">
        <f aca="false">T37+T38</f>
        <v>224897.984958698</v>
      </c>
      <c r="U39" s="21" t="n">
        <f aca="false">U37+U38</f>
        <v>230572.89556605</v>
      </c>
      <c r="V39" s="21" t="n">
        <f aca="false">V37+V38</f>
        <v>236651.473300177</v>
      </c>
      <c r="W39" s="21" t="n">
        <f aca="false">W37+W38</f>
        <v>242789.9475</v>
      </c>
      <c r="X39" s="21" t="n">
        <f aca="false">X37+X38</f>
        <v>247129.065</v>
      </c>
      <c r="Y39" s="21" t="n">
        <f aca="false">Y37+Y38</f>
        <v>250878.9375</v>
      </c>
      <c r="Z39" s="21" t="n">
        <f aca="false">Z37+Z38</f>
        <v>254769.135</v>
      </c>
      <c r="AA39" s="21" t="n">
        <f aca="false">AA37+AA38</f>
        <v>258804.8925</v>
      </c>
      <c r="AB39" s="21" t="n">
        <f aca="false">AB37+AB38</f>
        <v>262991.7375</v>
      </c>
      <c r="AC39" s="21" t="n">
        <f aca="false">AC37+AC38</f>
        <v>267335.3175</v>
      </c>
      <c r="AD39" s="21" t="n">
        <f aca="false">AD37+AD38</f>
        <v>271841.5425</v>
      </c>
      <c r="AE39" s="21" t="n">
        <f aca="false">AE37+AE38</f>
        <v>276516.5475</v>
      </c>
      <c r="AF39" s="21" t="n">
        <f aca="false">AF37+AF38</f>
        <v>281366.6475</v>
      </c>
      <c r="AG39" s="21" t="n">
        <f aca="false">AG37+AG38</f>
        <v>285823.1325</v>
      </c>
      <c r="AH39" s="21" t="n">
        <f aca="false">AH37+AH38</f>
        <v>290447.9325</v>
      </c>
      <c r="AI39" s="21" t="n">
        <f aca="false">AI37+AI38</f>
        <v>295247.415</v>
      </c>
      <c r="AJ39" s="21" t="n">
        <f aca="false">AJ37+AJ38</f>
        <v>298945.08</v>
      </c>
      <c r="AK39" s="21" t="n">
        <f aca="false">AK37+AK38</f>
        <v>302777.64</v>
      </c>
      <c r="AL39" s="21" t="n">
        <f aca="false">SUM(B39:AK39)</f>
        <v>8045897.85379666</v>
      </c>
    </row>
    <row r="41" customFormat="false" ht="15" hidden="false" customHeight="false" outlineLevel="0" collapsed="false">
      <c r="A41" s="5" t="s">
        <v>294</v>
      </c>
      <c r="B41" s="6" t="n">
        <f aca="false">-INDEX('Kredi Takvimi'!$AA$4:$AA$40,MATCH(B$4,'Kredi Takvimi'!$A$4:$A$40,0))</f>
        <v>-116552.658780557</v>
      </c>
      <c r="C41" s="6" t="n">
        <f aca="false">-INDEX('Kredi Takvimi'!$AA$4:$AA$40,MATCH(C$4,'Kredi Takvimi'!$A$4:$A$40,0))</f>
        <v>-120306.056093082</v>
      </c>
      <c r="D41" s="6" t="n">
        <f aca="false">-INDEX('Kredi Takvimi'!$AA$4:$AA$40,MATCH(D$4,'Kredi Takvimi'!$A$4:$A$40,0))</f>
        <v>-124755.422525966</v>
      </c>
      <c r="E41" s="6" t="n">
        <f aca="false">-INDEX('Kredi Takvimi'!$AA$4:$AA$40,MATCH(E$4,'Kredi Takvimi'!$A$4:$A$40,0))</f>
        <v>-129436.543615605</v>
      </c>
      <c r="F41" s="6" t="n">
        <f aca="false">-INDEX('Kredi Takvimi'!$AA$4:$AA$40,MATCH(F$4,'Kredi Takvimi'!$A$4:$A$40,0))</f>
        <v>-122801.637556872</v>
      </c>
      <c r="G41" s="6" t="n">
        <f aca="false">-INDEX('Kredi Takvimi'!$AA$4:$AA$40,MATCH(G$4,'Kredi Takvimi'!$A$4:$A$40,0))</f>
        <v>-129055.557478408</v>
      </c>
      <c r="H41" s="6" t="n">
        <f aca="false">-INDEX('Kredi Takvimi'!$AA$4:$AA$40,MATCH(H$4,'Kredi Takvimi'!$A$4:$A$40,0))</f>
        <v>-133031.513800519</v>
      </c>
      <c r="I41" s="6" t="n">
        <f aca="false">-INDEX('Kredi Takvimi'!$AA$4:$AA$40,MATCH(I$4,'Kredi Takvimi'!$A$4:$A$40,0))</f>
        <v>-136811.336678708</v>
      </c>
      <c r="J41" s="6" t="n">
        <f aca="false">-INDEX('Kredi Takvimi'!$AA$4:$AA$40,MATCH(J$4,'Kredi Takvimi'!$A$4:$A$40,0))</f>
        <v>-143758.918535929</v>
      </c>
      <c r="K41" s="6" t="n">
        <f aca="false">-INDEX('Kredi Takvimi'!$AA$4:$AA$40,MATCH(K$4,'Kredi Takvimi'!$A$4:$A$40,0))</f>
        <v>-148724.136686799</v>
      </c>
      <c r="L41" s="6" t="n">
        <f aca="false">-INDEX('Kredi Takvimi'!$AA$4:$AA$40,MATCH(L$4,'Kredi Takvimi'!$A$4:$A$40,0))</f>
        <v>-153914.056057096</v>
      </c>
      <c r="M41" s="6" t="n">
        <f aca="false">-INDEX('Kredi Takvimi'!$AA$4:$AA$40,MATCH(M$4,'Kredi Takvimi'!$A$4:$A$40,0))</f>
        <v>-159631.622002013</v>
      </c>
      <c r="N41" s="6" t="n">
        <f aca="false">-INDEX('Kredi Takvimi'!$AA$4:$AA$40,MATCH(N$4,'Kredi Takvimi'!$A$4:$A$40,0))</f>
        <v>-165562.283226749</v>
      </c>
      <c r="O41" s="6" t="n">
        <f aca="false">-INDEX('Kredi Takvimi'!$AA$4:$AA$40,MATCH(O$4,'Kredi Takvimi'!$A$4:$A$40,0))</f>
        <v>-171197.174813149</v>
      </c>
      <c r="P41" s="6" t="n">
        <f aca="false">-INDEX('Kredi Takvimi'!$AA$4:$AA$40,MATCH(P$4,'Kredi Takvimi'!$A$4:$A$40,0))</f>
        <v>-178526.791356261</v>
      </c>
      <c r="Q41" s="6" t="n">
        <f aca="false">-INDEX('Kredi Takvimi'!$AA$4:$AA$40,MATCH(Q$4,'Kredi Takvimi'!$A$4:$A$40,0))</f>
        <v>-184710.800214774</v>
      </c>
      <c r="R41" s="6" t="n">
        <f aca="false">-INDEX('Kredi Takvimi'!$AA$4:$AA$40,MATCH(R$4,'Kredi Takvimi'!$A$4:$A$40,0))</f>
        <v>-191394.324879495</v>
      </c>
      <c r="S41" s="6" t="n">
        <f aca="false">-INDEX('Kredi Takvimi'!$AA$4:$AA$40,MATCH(S$4,'Kredi Takvimi'!$A$4:$A$40,0))</f>
        <v>-198840.368464147</v>
      </c>
      <c r="T41" s="6" t="n">
        <f aca="false">-INDEX('Kredi Takvimi'!$AA$4:$AA$40,MATCH(T$4,'Kredi Takvimi'!$A$4:$A$40,0))</f>
        <v>-206084.237322921</v>
      </c>
      <c r="U41" s="6" t="n">
        <f aca="false">-INDEX('Kredi Takvimi'!$AA$4:$AA$40,MATCH(U$4,'Kredi Takvimi'!$A$4:$A$40,0))</f>
        <v>-213650.78479939</v>
      </c>
      <c r="V41" s="6" t="n">
        <f aca="false">-INDEX('Kredi Takvimi'!$AA$4:$AA$40,MATCH(V$4,'Kredi Takvimi'!$A$4:$A$40,0))</f>
        <v>-221755.555111559</v>
      </c>
      <c r="W41" s="6" t="n">
        <f aca="false">-INDEX('Kredi Takvimi'!$AA$4:$AA$40,MATCH(W$4,'Kredi Takvimi'!$A$4:$A$40,0))</f>
        <v>-153721.09</v>
      </c>
      <c r="X41" s="6" t="n">
        <f aca="false">-INDEX('Kredi Takvimi'!$AA$4:$AA$40,MATCH(X$4,'Kredi Takvimi'!$A$4:$A$40,0))</f>
        <v>-134266.8</v>
      </c>
      <c r="Y41" s="6" t="n">
        <f aca="false">-INDEX('Kredi Takvimi'!$AA$4:$AA$40,MATCH(Y$4,'Kredi Takvimi'!$A$4:$A$40,0))</f>
        <v>-139266.63</v>
      </c>
      <c r="Z41" s="6" t="n">
        <f aca="false">-INDEX('Kredi Takvimi'!$AA$4:$AA$40,MATCH(Z$4,'Kredi Takvimi'!$A$4:$A$40,0))</f>
        <v>-144453.56</v>
      </c>
      <c r="AA41" s="6" t="n">
        <f aca="false">-INDEX('Kredi Takvimi'!$AA$4:$AA$40,MATCH(AA$4,'Kredi Takvimi'!$A$4:$A$40,0))</f>
        <v>-149834.57</v>
      </c>
      <c r="AB41" s="6" t="n">
        <f aca="false">-INDEX('Kredi Takvimi'!$AA$4:$AA$40,MATCH(AB$4,'Kredi Takvimi'!$A$4:$A$40,0))</f>
        <v>-155417.03</v>
      </c>
      <c r="AC41" s="6" t="n">
        <f aca="false">-INDEX('Kredi Takvimi'!$AA$4:$AA$40,MATCH(AC$4,'Kredi Takvimi'!$A$4:$A$40,0))</f>
        <v>-161208.47</v>
      </c>
      <c r="AD41" s="6" t="n">
        <f aca="false">-INDEX('Kredi Takvimi'!$AA$4:$AA$40,MATCH(AD$4,'Kredi Takvimi'!$A$4:$A$40,0))</f>
        <v>-167216.77</v>
      </c>
      <c r="AE41" s="6" t="n">
        <f aca="false">-INDEX('Kredi Takvimi'!$AA$4:$AA$40,MATCH(AE$4,'Kredi Takvimi'!$A$4:$A$40,0))</f>
        <v>-173450.09</v>
      </c>
      <c r="AF41" s="6" t="n">
        <f aca="false">-INDEX('Kredi Takvimi'!$AA$4:$AA$40,MATCH(AF$4,'Kredi Takvimi'!$A$4:$A$40,0))</f>
        <v>-158108.25</v>
      </c>
      <c r="AG41" s="6" t="n">
        <f aca="false">-INDEX('Kredi Takvimi'!$AA$4:$AA$40,MATCH(AG$4,'Kredi Takvimi'!$A$4:$A$40,0))</f>
        <v>-164050.23</v>
      </c>
      <c r="AH41" s="6" t="n">
        <f aca="false">-INDEX('Kredi Takvimi'!$AA$4:$AA$40,MATCH(AH$4,'Kredi Takvimi'!$A$4:$A$40,0))</f>
        <v>-170216.25</v>
      </c>
      <c r="AI41" s="6" t="n">
        <f aca="false">-INDEX('Kredi Takvimi'!$AA$4:$AA$40,MATCH(AI$4,'Kredi Takvimi'!$A$4:$A$40,0))</f>
        <v>-135451.97</v>
      </c>
      <c r="AJ41" s="6" t="n">
        <f aca="false">-INDEX('Kredi Takvimi'!$AA$4:$AA$40,MATCH(AJ$4,'Kredi Takvimi'!$A$4:$A$40,0))</f>
        <v>-140382.19</v>
      </c>
      <c r="AK41" s="6" t="n">
        <f aca="false">-INDEX('Kredi Takvimi'!$AA$4:$AA$40,MATCH(AK$4,'Kredi Takvimi'!$A$4:$A$40,0))</f>
        <v>-145491.9</v>
      </c>
      <c r="AL41" s="21" t="n">
        <f aca="false">SUM(B41:AK41)</f>
        <v>-5643037.58</v>
      </c>
    </row>
    <row r="42" customFormat="false" ht="15" hidden="false" customHeight="false" outlineLevel="0" collapsed="false">
      <c r="A42" s="5" t="s">
        <v>295</v>
      </c>
      <c r="B42" s="12" t="n">
        <f aca="false">-B11*Varsayımlar!$B$6</f>
        <v>-0</v>
      </c>
      <c r="C42" s="12" t="n">
        <f aca="false">-C11*Varsayımlar!$B$6</f>
        <v>-0</v>
      </c>
      <c r="D42" s="12" t="n">
        <f aca="false">-D11*Varsayımlar!$B$6</f>
        <v>-0</v>
      </c>
      <c r="E42" s="12" t="n">
        <f aca="false">-E11*Varsayımlar!$B$6</f>
        <v>-0</v>
      </c>
      <c r="F42" s="12" t="n">
        <f aca="false">-F11*Varsayımlar!$B$6</f>
        <v>-0</v>
      </c>
      <c r="G42" s="12" t="n">
        <f aca="false">-G11*Varsayımlar!$B$6</f>
        <v>-0</v>
      </c>
      <c r="H42" s="12" t="n">
        <f aca="false">-H11*Varsayımlar!$B$6</f>
        <v>-0</v>
      </c>
      <c r="I42" s="12" t="n">
        <f aca="false">-I11*Varsayımlar!$B$6</f>
        <v>-0</v>
      </c>
      <c r="J42" s="12" t="n">
        <f aca="false">-J11*Varsayımlar!$B$6</f>
        <v>-0</v>
      </c>
      <c r="K42" s="12" t="n">
        <f aca="false">-K11*Varsayımlar!$B$6</f>
        <v>-0</v>
      </c>
      <c r="L42" s="12" t="n">
        <f aca="false">-L11*Varsayımlar!$B$6</f>
        <v>-0</v>
      </c>
      <c r="M42" s="12" t="n">
        <f aca="false">-M11*Varsayımlar!$B$6</f>
        <v>-0</v>
      </c>
      <c r="N42" s="12" t="n">
        <f aca="false">-N11*Varsayımlar!$B$6</f>
        <v>-0</v>
      </c>
      <c r="O42" s="12" t="n">
        <f aca="false">-O11*Varsayımlar!$B$6</f>
        <v>-0</v>
      </c>
      <c r="P42" s="12" t="n">
        <f aca="false">-P11*Varsayımlar!$B$6</f>
        <v>-0</v>
      </c>
      <c r="Q42" s="12" t="n">
        <f aca="false">-Q11*Varsayımlar!$B$6</f>
        <v>-0</v>
      </c>
      <c r="R42" s="12" t="n">
        <f aca="false">-R11*Varsayımlar!$B$6</f>
        <v>-0</v>
      </c>
      <c r="S42" s="12" t="n">
        <f aca="false">-S11*Varsayımlar!$B$6</f>
        <v>-0</v>
      </c>
      <c r="T42" s="12" t="n">
        <f aca="false">-T11*Varsayımlar!$B$6</f>
        <v>-0</v>
      </c>
      <c r="U42" s="12" t="n">
        <f aca="false">-U11*Varsayımlar!$B$6</f>
        <v>-0</v>
      </c>
      <c r="V42" s="12" t="n">
        <f aca="false">-V11*Varsayımlar!$B$6</f>
        <v>-0</v>
      </c>
      <c r="W42" s="12" t="n">
        <f aca="false">-W11*Varsayımlar!$B$6</f>
        <v>-0</v>
      </c>
      <c r="X42" s="12" t="n">
        <f aca="false">-X11*Varsayımlar!$B$6</f>
        <v>-0</v>
      </c>
      <c r="Y42" s="12" t="n">
        <f aca="false">-Y11*Varsayımlar!$B$6</f>
        <v>-0</v>
      </c>
      <c r="Z42" s="12" t="n">
        <f aca="false">-Z11*Varsayımlar!$B$6</f>
        <v>-0</v>
      </c>
      <c r="AA42" s="12" t="n">
        <f aca="false">-AA11*Varsayımlar!$B$6</f>
        <v>-0</v>
      </c>
      <c r="AB42" s="12" t="n">
        <f aca="false">-AB11*Varsayımlar!$B$6</f>
        <v>-0</v>
      </c>
      <c r="AC42" s="12" t="n">
        <f aca="false">-AC11*Varsayımlar!$B$6</f>
        <v>-0</v>
      </c>
      <c r="AD42" s="12" t="n">
        <f aca="false">-AD11*Varsayımlar!$B$6</f>
        <v>-0</v>
      </c>
      <c r="AE42" s="12" t="n">
        <f aca="false">-AE11*Varsayımlar!$B$6</f>
        <v>-0</v>
      </c>
      <c r="AF42" s="12" t="n">
        <f aca="false">-AF11*Varsayımlar!$B$6</f>
        <v>-0</v>
      </c>
      <c r="AG42" s="12" t="n">
        <f aca="false">-AG11*Varsayımlar!$B$6</f>
        <v>-0</v>
      </c>
      <c r="AH42" s="12" t="n">
        <f aca="false">-AH11*Varsayımlar!$B$6</f>
        <v>-0</v>
      </c>
      <c r="AI42" s="12" t="n">
        <f aca="false">-AI11*Varsayımlar!$B$6</f>
        <v>-0</v>
      </c>
      <c r="AJ42" s="12" t="n">
        <f aca="false">-AJ11*Varsayımlar!$B$6</f>
        <v>-0</v>
      </c>
      <c r="AK42" s="12" t="n">
        <f aca="false">-AK11*Varsayımlar!$B$6</f>
        <v>-0</v>
      </c>
      <c r="AL42" s="21" t="n">
        <f aca="false">SUM(B42:AK42)</f>
        <v>0</v>
      </c>
    </row>
    <row r="43" customFormat="false" ht="15" hidden="false" customHeight="false" outlineLevel="0" collapsed="false">
      <c r="A43" s="5" t="s">
        <v>296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19" t="n">
        <v>0</v>
      </c>
      <c r="U43" s="19" t="n">
        <v>0</v>
      </c>
      <c r="V43" s="19" t="n">
        <v>0</v>
      </c>
      <c r="W43" s="19" t="n">
        <v>0</v>
      </c>
      <c r="X43" s="19" t="n">
        <v>0</v>
      </c>
      <c r="Y43" s="19" t="n">
        <v>0</v>
      </c>
      <c r="Z43" s="19" t="n">
        <v>0</v>
      </c>
      <c r="AA43" s="19" t="n">
        <v>0</v>
      </c>
      <c r="AB43" s="19" t="n">
        <v>0</v>
      </c>
      <c r="AC43" s="19" t="n">
        <v>0</v>
      </c>
      <c r="AD43" s="19" t="n">
        <v>0</v>
      </c>
      <c r="AE43" s="19" t="n">
        <v>0</v>
      </c>
      <c r="AF43" s="19" t="n">
        <v>0</v>
      </c>
      <c r="AG43" s="19" t="n">
        <v>0</v>
      </c>
      <c r="AH43" s="19" t="n">
        <v>0</v>
      </c>
      <c r="AI43" s="19" t="n">
        <v>0</v>
      </c>
      <c r="AJ43" s="19" t="n">
        <v>0</v>
      </c>
      <c r="AK43" s="19" t="n">
        <v>0</v>
      </c>
      <c r="AL43" s="21" t="n">
        <f aca="false">SUM(B43:AK43)</f>
        <v>0</v>
      </c>
    </row>
    <row r="44" customFormat="false" ht="15" hidden="false" customHeight="false" outlineLevel="0" collapsed="false">
      <c r="A44" s="5" t="s">
        <v>297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0</v>
      </c>
      <c r="Q44" s="19" t="n">
        <v>0</v>
      </c>
      <c r="R44" s="19" t="n">
        <v>0</v>
      </c>
      <c r="S44" s="19" t="n">
        <v>0</v>
      </c>
      <c r="T44" s="19" t="n">
        <v>0</v>
      </c>
      <c r="U44" s="19" t="n">
        <v>0</v>
      </c>
      <c r="V44" s="19" t="n">
        <v>0</v>
      </c>
      <c r="W44" s="19" t="n">
        <v>0</v>
      </c>
      <c r="X44" s="19" t="n">
        <v>0</v>
      </c>
      <c r="Y44" s="19" t="n">
        <v>0</v>
      </c>
      <c r="Z44" s="19" t="n">
        <v>0</v>
      </c>
      <c r="AA44" s="19" t="n">
        <v>0</v>
      </c>
      <c r="AB44" s="19" t="n">
        <v>0</v>
      </c>
      <c r="AC44" s="19" t="n">
        <v>0</v>
      </c>
      <c r="AD44" s="19" t="n">
        <v>0</v>
      </c>
      <c r="AE44" s="19" t="n">
        <v>0</v>
      </c>
      <c r="AF44" s="19" t="n">
        <v>0</v>
      </c>
      <c r="AG44" s="19" t="n">
        <v>0</v>
      </c>
      <c r="AH44" s="19" t="n">
        <v>0</v>
      </c>
      <c r="AI44" s="19" t="n">
        <v>0</v>
      </c>
      <c r="AJ44" s="19" t="n">
        <v>0</v>
      </c>
      <c r="AK44" s="19" t="n">
        <v>0</v>
      </c>
      <c r="AL44" s="21" t="n">
        <f aca="false">SUM(B44:AK44)</f>
        <v>0</v>
      </c>
    </row>
    <row r="45" customFormat="false" ht="15" hidden="false" customHeight="false" outlineLevel="0" collapsed="false">
      <c r="A45" s="8" t="s">
        <v>298</v>
      </c>
      <c r="B45" s="21" t="n">
        <f aca="false">B12+B13+B33+B36+B38+B41+B42+B43+B44</f>
        <v>33278.0297713682</v>
      </c>
      <c r="C45" s="21" t="n">
        <f aca="false">C12+C13+C33+C36+C38+C41+C42+C43+C44</f>
        <v>32339.680443237</v>
      </c>
      <c r="D45" s="21" t="n">
        <f aca="false">D12+D13+D33+D36+D38+D41+D42+D43+D44</f>
        <v>31227.3388350159</v>
      </c>
      <c r="E45" s="21" t="n">
        <f aca="false">E12+E13+E33+E36+E38+E41+E42+E43+E44</f>
        <v>30057.1110626063</v>
      </c>
      <c r="F45" s="21" t="n">
        <f aca="false">F12+F13+F33+F36+F38+F41+F42+F43+F44</f>
        <v>39634.3975772893</v>
      </c>
      <c r="G45" s="21" t="n">
        <f aca="false">G12+G13+G33+G36+G38+G41+G42+G43+G44</f>
        <v>38070.9175969054</v>
      </c>
      <c r="H45" s="21" t="n">
        <f aca="false">H12+H13+H33+H36+H38+H41+H42+H43+H44</f>
        <v>37076.9285163776</v>
      </c>
      <c r="I45" s="21" t="n">
        <f aca="false">I12+I13+I33+I36+I38+I41+I42+I43+I44</f>
        <v>36131.9727968305</v>
      </c>
      <c r="J45" s="21" t="n">
        <f aca="false">J12+J13+J33+J36+J38+J41+J42+J43+J44</f>
        <v>34395.0773325251</v>
      </c>
      <c r="K45" s="21" t="n">
        <f aca="false">K12+K13+K33+K36+K38+K41+K42+K43+K44</f>
        <v>33153.7727948076</v>
      </c>
      <c r="L45" s="21" t="n">
        <f aca="false">L12+L13+L33+L36+L38+L41+L42+L43+L44</f>
        <v>31856.2929522333</v>
      </c>
      <c r="M45" s="21" t="n">
        <f aca="false">M12+M13+M33+M36+M38+M41+M42+M43+M44</f>
        <v>30426.901466004</v>
      </c>
      <c r="N45" s="21" t="n">
        <f aca="false">N12+N13+N33+N36+N38+N41+N42+N43+N44</f>
        <v>28944.2361598202</v>
      </c>
      <c r="O45" s="21" t="n">
        <f aca="false">O12+O13+O33+O36+O38+O41+O42+O43+O44</f>
        <v>27535.5132632201</v>
      </c>
      <c r="P45" s="21" t="n">
        <f aca="false">P12+P13+P33+P36+P38+P41+P42+P43+P44</f>
        <v>25703.109127442</v>
      </c>
      <c r="Q45" s="21" t="n">
        <f aca="false">Q12+Q13+Q33+Q36+Q38+Q41+Q42+Q43+Q44</f>
        <v>24157.106912814</v>
      </c>
      <c r="R45" s="21" t="n">
        <f aca="false">R12+R13+R33+R36+R38+R41+R42+R43+R44</f>
        <v>22486.2257466337</v>
      </c>
      <c r="S45" s="21" t="n">
        <f aca="false">S12+S13+S33+S36+S38+S41+S42+S43+S44</f>
        <v>20624.7148504706</v>
      </c>
      <c r="T45" s="21" t="n">
        <f aca="false">T12+T13+T33+T36+T38+T41+T42+T43+T44</f>
        <v>18813.7476357772</v>
      </c>
      <c r="U45" s="21" t="n">
        <f aca="false">U12+U13+U33+U36+U38+U41+U42+U43+U44</f>
        <v>16922.1107666599</v>
      </c>
      <c r="V45" s="21" t="n">
        <f aca="false">V12+V13+V33+V36+V38+V41+V42+V43+V44</f>
        <v>14895.9181886182</v>
      </c>
      <c r="W45" s="21" t="n">
        <f aca="false">W12+W13+W33+W36+W38+W41+W42+W43+W44</f>
        <v>89068.8575</v>
      </c>
      <c r="X45" s="21" t="n">
        <f aca="false">X12+X13+X33+X36+X38+X41+X42+X43+X44</f>
        <v>112862.265</v>
      </c>
      <c r="Y45" s="21" t="n">
        <f aca="false">Y12+Y13+Y33+Y36+Y38+Y41+Y42+Y43+Y44</f>
        <v>111612.3075</v>
      </c>
      <c r="Z45" s="21" t="n">
        <f aca="false">Z12+Z13+Z33+Z36+Z38+Z41+Z42+Z43+Z44</f>
        <v>110315.575</v>
      </c>
      <c r="AA45" s="21" t="n">
        <f aca="false">AA12+AA13+AA33+AA36+AA38+AA41+AA42+AA43+AA44</f>
        <v>108970.3225</v>
      </c>
      <c r="AB45" s="21" t="n">
        <f aca="false">AB12+AB13+AB33+AB36+AB38+AB41+AB42+AB43+AB44</f>
        <v>107574.7075</v>
      </c>
      <c r="AC45" s="21" t="n">
        <f aca="false">AC12+AC13+AC33+AC36+AC38+AC41+AC42+AC43+AC44</f>
        <v>106126.8475</v>
      </c>
      <c r="AD45" s="21" t="n">
        <f aca="false">AD12+AD13+AD33+AD36+AD38+AD41+AD42+AD43+AD44</f>
        <v>104624.7725</v>
      </c>
      <c r="AE45" s="21" t="n">
        <f aca="false">AE12+AE13+AE33+AE36+AE38+AE41+AE42+AE43+AE44</f>
        <v>103066.4575</v>
      </c>
      <c r="AF45" s="21" t="n">
        <f aca="false">AF12+AF13+AF33+AF36+AF38+AF41+AF42+AF43+AF44</f>
        <v>123258.3975</v>
      </c>
      <c r="AG45" s="21" t="n">
        <f aca="false">AG12+AG13+AG33+AG36+AG38+AG41+AG42+AG43+AG44</f>
        <v>121772.9025</v>
      </c>
      <c r="AH45" s="21" t="n">
        <f aca="false">AH12+AH13+AH33+AH36+AH38+AH41+AH42+AH43+AH44</f>
        <v>120231.6825</v>
      </c>
      <c r="AI45" s="21" t="n">
        <f aca="false">AI12+AI13+AI33+AI36+AI38+AI41+AI42+AI43+AI44</f>
        <v>159795.445</v>
      </c>
      <c r="AJ45" s="21" t="n">
        <f aca="false">AJ12+AJ13+AJ33+AJ36+AJ38+AJ41+AJ42+AJ43+AJ44</f>
        <v>158562.89</v>
      </c>
      <c r="AK45" s="21" t="n">
        <f aca="false">AK12+AK13+AK33+AK36+AK38+AK41+AK42+AK43+AK44</f>
        <v>157285.74</v>
      </c>
      <c r="AL45" s="21" t="n">
        <f aca="false">SUM(B45:AK45)</f>
        <v>2402860.27379666</v>
      </c>
    </row>
    <row r="46" customFormat="false" ht="15" hidden="false" customHeight="false" outlineLevel="0" collapsed="false">
      <c r="A46" s="5" t="s">
        <v>299</v>
      </c>
      <c r="B46" s="6" t="n">
        <f aca="false">Varsayımlar!$B$4</f>
        <v>0</v>
      </c>
      <c r="C46" s="12" t="n">
        <f aca="false">B47</f>
        <v>33278.0297713682</v>
      </c>
      <c r="D46" s="12" t="n">
        <f aca="false">C47</f>
        <v>65617.7102146052</v>
      </c>
      <c r="E46" s="12" t="n">
        <f aca="false">D47</f>
        <v>96845.0490496211</v>
      </c>
      <c r="F46" s="12" t="n">
        <f aca="false">E47</f>
        <v>126902.160112227</v>
      </c>
      <c r="G46" s="12" t="n">
        <f aca="false">F47</f>
        <v>166536.557689517</v>
      </c>
      <c r="H46" s="12" t="n">
        <f aca="false">G47</f>
        <v>204607.475286422</v>
      </c>
      <c r="I46" s="12" t="n">
        <f aca="false">H47</f>
        <v>241684.4038028</v>
      </c>
      <c r="J46" s="12" t="n">
        <f aca="false">I47</f>
        <v>277816.37659963</v>
      </c>
      <c r="K46" s="12" t="n">
        <f aca="false">J47</f>
        <v>312211.453932155</v>
      </c>
      <c r="L46" s="12" t="n">
        <f aca="false">K47</f>
        <v>345365.226726963</v>
      </c>
      <c r="M46" s="12" t="n">
        <f aca="false">L47</f>
        <v>377221.519679196</v>
      </c>
      <c r="N46" s="12" t="n">
        <f aca="false">M47</f>
        <v>407648.4211452</v>
      </c>
      <c r="O46" s="12" t="n">
        <f aca="false">N47</f>
        <v>436592.65730502</v>
      </c>
      <c r="P46" s="12" t="n">
        <f aca="false">O47</f>
        <v>464128.17056824</v>
      </c>
      <c r="Q46" s="12" t="n">
        <f aca="false">P47</f>
        <v>489831.279695682</v>
      </c>
      <c r="R46" s="12" t="n">
        <f aca="false">Q47</f>
        <v>513988.386608497</v>
      </c>
      <c r="S46" s="12" t="n">
        <f aca="false">R47</f>
        <v>536474.61235513</v>
      </c>
      <c r="T46" s="12" t="n">
        <f aca="false">S47</f>
        <v>557099.327205601</v>
      </c>
      <c r="U46" s="12" t="n">
        <f aca="false">T47</f>
        <v>575913.074841378</v>
      </c>
      <c r="V46" s="12" t="n">
        <f aca="false">U47</f>
        <v>592835.185608038</v>
      </c>
      <c r="W46" s="12" t="n">
        <f aca="false">V47</f>
        <v>607731.103796656</v>
      </c>
      <c r="X46" s="12" t="n">
        <f aca="false">W47</f>
        <v>696799.961296656</v>
      </c>
      <c r="Y46" s="12" t="n">
        <f aca="false">X47</f>
        <v>809662.226296656</v>
      </c>
      <c r="Z46" s="12" t="n">
        <f aca="false">Y47</f>
        <v>921274.533796656</v>
      </c>
      <c r="AA46" s="12" t="n">
        <f aca="false">Z47</f>
        <v>1031590.10879666</v>
      </c>
      <c r="AB46" s="12" t="n">
        <f aca="false">AA47</f>
        <v>1140560.43129666</v>
      </c>
      <c r="AC46" s="12" t="n">
        <f aca="false">AB47</f>
        <v>1248135.13879666</v>
      </c>
      <c r="AD46" s="12" t="n">
        <f aca="false">AC47</f>
        <v>1354261.98629666</v>
      </c>
      <c r="AE46" s="12" t="n">
        <f aca="false">AD47</f>
        <v>1458886.75879666</v>
      </c>
      <c r="AF46" s="12" t="n">
        <f aca="false">AE47</f>
        <v>1561953.21629666</v>
      </c>
      <c r="AG46" s="12" t="n">
        <f aca="false">AF47</f>
        <v>1685211.61379666</v>
      </c>
      <c r="AH46" s="12" t="n">
        <f aca="false">AG47</f>
        <v>1806984.51629666</v>
      </c>
      <c r="AI46" s="12" t="n">
        <f aca="false">AH47</f>
        <v>1927216.19879666</v>
      </c>
      <c r="AJ46" s="12" t="n">
        <f aca="false">AI47</f>
        <v>2087011.64379666</v>
      </c>
      <c r="AK46" s="12" t="n">
        <f aca="false">AJ47</f>
        <v>2245574.53379666</v>
      </c>
    </row>
    <row r="47" customFormat="false" ht="15" hidden="false" customHeight="false" outlineLevel="0" collapsed="false">
      <c r="A47" s="8" t="s">
        <v>300</v>
      </c>
      <c r="B47" s="21" t="n">
        <f aca="false">B46+B45</f>
        <v>33278.0297713682</v>
      </c>
      <c r="C47" s="21" t="n">
        <f aca="false">C46+C45</f>
        <v>65617.7102146052</v>
      </c>
      <c r="D47" s="21" t="n">
        <f aca="false">D46+D45</f>
        <v>96845.0490496211</v>
      </c>
      <c r="E47" s="21" t="n">
        <f aca="false">E46+E45</f>
        <v>126902.160112227</v>
      </c>
      <c r="F47" s="21" t="n">
        <f aca="false">F46+F45</f>
        <v>166536.557689517</v>
      </c>
      <c r="G47" s="21" t="n">
        <f aca="false">G46+G45</f>
        <v>204607.475286422</v>
      </c>
      <c r="H47" s="21" t="n">
        <f aca="false">H46+H45</f>
        <v>241684.4038028</v>
      </c>
      <c r="I47" s="21" t="n">
        <f aca="false">I46+I45</f>
        <v>277816.37659963</v>
      </c>
      <c r="J47" s="21" t="n">
        <f aca="false">J46+J45</f>
        <v>312211.453932155</v>
      </c>
      <c r="K47" s="21" t="n">
        <f aca="false">K46+K45</f>
        <v>345365.226726963</v>
      </c>
      <c r="L47" s="21" t="n">
        <f aca="false">L46+L45</f>
        <v>377221.519679196</v>
      </c>
      <c r="M47" s="21" t="n">
        <f aca="false">M46+M45</f>
        <v>407648.4211452</v>
      </c>
      <c r="N47" s="21" t="n">
        <f aca="false">N46+N45</f>
        <v>436592.65730502</v>
      </c>
      <c r="O47" s="21" t="n">
        <f aca="false">O46+O45</f>
        <v>464128.17056824</v>
      </c>
      <c r="P47" s="21" t="n">
        <f aca="false">P46+P45</f>
        <v>489831.279695682</v>
      </c>
      <c r="Q47" s="21" t="n">
        <f aca="false">Q46+Q45</f>
        <v>513988.386608497</v>
      </c>
      <c r="R47" s="21" t="n">
        <f aca="false">R46+R45</f>
        <v>536474.61235513</v>
      </c>
      <c r="S47" s="21" t="n">
        <f aca="false">S46+S45</f>
        <v>557099.327205601</v>
      </c>
      <c r="T47" s="21" t="n">
        <f aca="false">T46+T45</f>
        <v>575913.074841378</v>
      </c>
      <c r="U47" s="21" t="n">
        <f aca="false">U46+U45</f>
        <v>592835.185608038</v>
      </c>
      <c r="V47" s="21" t="n">
        <f aca="false">V46+V45</f>
        <v>607731.103796656</v>
      </c>
      <c r="W47" s="21" t="n">
        <f aca="false">W46+W45</f>
        <v>696799.961296656</v>
      </c>
      <c r="X47" s="21" t="n">
        <f aca="false">X46+X45</f>
        <v>809662.226296656</v>
      </c>
      <c r="Y47" s="21" t="n">
        <f aca="false">Y46+Y45</f>
        <v>921274.533796656</v>
      </c>
      <c r="Z47" s="21" t="n">
        <f aca="false">Z46+Z45</f>
        <v>1031590.10879666</v>
      </c>
      <c r="AA47" s="21" t="n">
        <f aca="false">AA46+AA45</f>
        <v>1140560.43129666</v>
      </c>
      <c r="AB47" s="21" t="n">
        <f aca="false">AB46+AB45</f>
        <v>1248135.13879666</v>
      </c>
      <c r="AC47" s="21" t="n">
        <f aca="false">AC46+AC45</f>
        <v>1354261.98629666</v>
      </c>
      <c r="AD47" s="21" t="n">
        <f aca="false">AD46+AD45</f>
        <v>1458886.75879666</v>
      </c>
      <c r="AE47" s="21" t="n">
        <f aca="false">AE46+AE45</f>
        <v>1561953.21629666</v>
      </c>
      <c r="AF47" s="21" t="n">
        <f aca="false">AF46+AF45</f>
        <v>1685211.61379666</v>
      </c>
      <c r="AG47" s="21" t="n">
        <f aca="false">AG46+AG45</f>
        <v>1806984.51629666</v>
      </c>
      <c r="AH47" s="21" t="n">
        <f aca="false">AH46+AH45</f>
        <v>1927216.19879666</v>
      </c>
      <c r="AI47" s="21" t="n">
        <f aca="false">AI46+AI45</f>
        <v>2087011.64379666</v>
      </c>
      <c r="AJ47" s="21" t="n">
        <f aca="false">AJ46+AJ45</f>
        <v>2245574.53379666</v>
      </c>
      <c r="AK47" s="21" t="n">
        <f aca="false">AK46+AK45</f>
        <v>2402860.27379666</v>
      </c>
      <c r="AL47" s="21" t="n">
        <f aca="false">AK47</f>
        <v>2402860.27379666</v>
      </c>
    </row>
    <row r="49" customFormat="false" ht="15" hidden="false" customHeight="false" outlineLevel="0" collapsed="false">
      <c r="A49" s="8" t="s">
        <v>301</v>
      </c>
      <c r="B49" s="21" t="n">
        <f aca="false">IF((Varsayımlar!$B$5*(1-Varsayımlar!$B$7)-Varsayımlar!$B$6)&gt;0,((-B41+Varsayımlar!$B$8)+(-B33-B36)*(1-Varsayımlar!$B$7))/(Varsayımlar!$B$5*(1-Varsayımlar!$B$7)-Varsayımlar!$B$6),0)</f>
        <v>1560717.48110121</v>
      </c>
      <c r="C49" s="21" t="n">
        <f aca="false">IF((Varsayımlar!$B$5*(1-Varsayımlar!$B$7)-Varsayımlar!$B$6)&gt;0,((-C41+Varsayımlar!$B$8)+(-C33-C36)*(1-Varsayımlar!$B$7))/(Varsayımlar!$B$5*(1-Varsayımlar!$B$7)-Varsayımlar!$B$6),0)</f>
        <v>1563235.00368888</v>
      </c>
      <c r="D49" s="21" t="n">
        <f aca="false">IF((Varsayımlar!$B$5*(1-Varsayımlar!$B$7)-Varsayımlar!$B$6)&gt;0,((-D41+Varsayımlar!$B$8)+(-D33-D36)*(1-Varsayımlar!$B$7))/(Varsayımlar!$B$5*(1-Varsayımlar!$B$7)-Varsayımlar!$B$6),0)</f>
        <v>1566219.33483288</v>
      </c>
      <c r="E49" s="21" t="n">
        <f aca="false">IF((Varsayımlar!$B$5*(1-Varsayımlar!$B$7)-Varsayımlar!$B$6)&gt;0,((-E41+Varsayımlar!$B$8)+(-E33-E36)*(1-Varsayımlar!$B$7))/(Varsayımlar!$B$5*(1-Varsayımlar!$B$7)-Varsayımlar!$B$6),0)</f>
        <v>1569358.97031984</v>
      </c>
      <c r="F49" s="21" t="n">
        <f aca="false">IF((Varsayımlar!$B$5*(1-Varsayımlar!$B$7)-Varsayımlar!$B$6)&gt;0,((-F41+Varsayımlar!$B$8)+(-F33-F36)*(1-Varsayımlar!$B$7))/(Varsayımlar!$B$5*(1-Varsayımlar!$B$7)-Varsayımlar!$B$6),0)</f>
        <v>1543663.811378</v>
      </c>
      <c r="G49" s="21" t="n">
        <f aca="false">IF((Varsayımlar!$B$5*(1-Varsayımlar!$B$7)-Varsayımlar!$B$6)&gt;0,((-G41+Varsayımlar!$B$8)+(-G33-G36)*(1-Varsayımlar!$B$7))/(Varsayımlar!$B$5*(1-Varsayımlar!$B$7)-Varsayımlar!$B$6),0)</f>
        <v>1547858.5137644</v>
      </c>
      <c r="H49" s="21" t="n">
        <f aca="false">IF((Varsayımlar!$B$5*(1-Varsayımlar!$B$7)-Varsayımlar!$B$6)&gt;0,((-H41+Varsayımlar!$B$8)+(-H33-H36)*(1-Varsayımlar!$B$7))/(Varsayımlar!$B$5*(1-Varsayımlar!$B$7)-Varsayımlar!$B$6),0)</f>
        <v>1550525.31373655</v>
      </c>
      <c r="I49" s="21" t="n">
        <f aca="false">IF((Varsayımlar!$B$5*(1-Varsayımlar!$B$7)-Varsayımlar!$B$6)&gt;0,((-I41+Varsayımlar!$B$8)+(-I33-I36)*(1-Varsayımlar!$B$7))/(Varsayımlar!$B$5*(1-Varsayımlar!$B$7)-Varsayımlar!$B$6),0)</f>
        <v>1553060.56078899</v>
      </c>
      <c r="J49" s="21" t="n">
        <f aca="false">IF((Varsayımlar!$B$5*(1-Varsayımlar!$B$7)-Varsayımlar!$B$6)&gt;0,((-J41+Varsayımlar!$B$8)+(-J33-J36)*(1-Varsayımlar!$B$7))/(Varsayımlar!$B$5*(1-Varsayımlar!$B$7)-Varsayımlar!$B$6),0)</f>
        <v>1557720.52422981</v>
      </c>
      <c r="K49" s="21" t="n">
        <f aca="false">IF((Varsayımlar!$B$5*(1-Varsayımlar!$B$7)-Varsayımlar!$B$6)&gt;0,((-K41+Varsayımlar!$B$8)+(-K33-K36)*(1-Varsayımlar!$B$7))/(Varsayımlar!$B$5*(1-Varsayımlar!$B$7)-Varsayımlar!$B$6),0)</f>
        <v>1561050.85347735</v>
      </c>
      <c r="L49" s="21" t="n">
        <f aca="false">IF((Varsayımlar!$B$5*(1-Varsayımlar!$B$7)-Varsayımlar!$B$6)&gt;0,((-L41+Varsayımlar!$B$8)+(-L33-L36)*(1-Varsayımlar!$B$7))/(Varsayımlar!$B$5*(1-Varsayımlar!$B$7)-Varsayımlar!$B$6),0)</f>
        <v>1564531.89695742</v>
      </c>
      <c r="M49" s="21" t="n">
        <f aca="false">IF((Varsayımlar!$B$5*(1-Varsayımlar!$B$7)-Varsayımlar!$B$6)&gt;0,((-M41+Varsayımlar!$B$8)+(-M33-M36)*(1-Varsayımlar!$B$7))/(Varsayımlar!$B$5*(1-Varsayımlar!$B$7)-Varsayımlar!$B$6),0)</f>
        <v>1568366.84972536</v>
      </c>
      <c r="N49" s="21" t="n">
        <f aca="false">IF((Varsayımlar!$B$5*(1-Varsayımlar!$B$7)-Varsayımlar!$B$6)&gt;0,((-N41+Varsayımlar!$B$8)+(-N33-N36)*(1-Varsayımlar!$B$7))/(Varsayımlar!$B$5*(1-Varsayımlar!$B$7)-Varsayımlar!$B$6),0)</f>
        <v>1572344.73225414</v>
      </c>
      <c r="O49" s="21" t="n">
        <f aca="false">IF((Varsayımlar!$B$5*(1-Varsayımlar!$B$7)-Varsayımlar!$B$6)&gt;0,((-O41+Varsayımlar!$B$8)+(-O33-O36)*(1-Varsayımlar!$B$7))/(Varsayımlar!$B$5*(1-Varsayımlar!$B$7)-Varsayımlar!$B$6),0)</f>
        <v>1576124.23270843</v>
      </c>
      <c r="P49" s="21" t="n">
        <f aca="false">IF((Varsayımlar!$B$5*(1-Varsayımlar!$B$7)-Varsayımlar!$B$6)&gt;0,((-P41+Varsayımlar!$B$8)+(-P33-P36)*(1-Varsayımlar!$B$7))/(Varsayımlar!$B$5*(1-Varsayımlar!$B$7)-Varsayımlar!$B$6),0)</f>
        <v>1581040.43892638</v>
      </c>
      <c r="Q49" s="21" t="n">
        <f aca="false">IF((Varsayımlar!$B$5*(1-Varsayımlar!$B$7)-Varsayımlar!$B$6)&gt;0,((-Q41+Varsayımlar!$B$8)+(-Q33-Q36)*(1-Varsayımlar!$B$7))/(Varsayımlar!$B$5*(1-Varsayımlar!$B$7)-Varsayımlar!$B$6),0)</f>
        <v>1585188.24974611</v>
      </c>
      <c r="R49" s="21" t="n">
        <f aca="false">IF((Varsayımlar!$B$5*(1-Varsayımlar!$B$7)-Varsayımlar!$B$6)&gt;0,((-R41+Varsayımlar!$B$8)+(-R33-R36)*(1-Varsayımlar!$B$7))/(Varsayımlar!$B$5*(1-Varsayımlar!$B$7)-Varsayımlar!$B$6),0)</f>
        <v>1589671.10165537</v>
      </c>
      <c r="S49" s="21" t="n">
        <f aca="false">IF((Varsayımlar!$B$5*(1-Varsayımlar!$B$7)-Varsayımlar!$B$6)&gt;0,((-S41+Varsayımlar!$B$8)+(-S33-S36)*(1-Varsayımlar!$B$7))/(Varsayımlar!$B$5*(1-Varsayımlar!$B$7)-Varsayımlar!$B$6),0)</f>
        <v>1594665.39918166</v>
      </c>
      <c r="T49" s="21" t="n">
        <f aca="false">IF((Varsayımlar!$B$5*(1-Varsayımlar!$B$7)-Varsayımlar!$B$6)&gt;0,((-T41+Varsayımlar!$B$8)+(-T33-T36)*(1-Varsayımlar!$B$7))/(Varsayımlar!$B$5*(1-Varsayımlar!$B$7)-Varsayımlar!$B$6),0)</f>
        <v>1599524.09170889</v>
      </c>
      <c r="U49" s="21" t="n">
        <f aca="false">IF((Varsayımlar!$B$5*(1-Varsayımlar!$B$7)-Varsayımlar!$B$6)&gt;0,((-U41+Varsayımlar!$B$8)+(-U33-U36)*(1-Varsayımlar!$B$7))/(Varsayımlar!$B$5*(1-Varsayımlar!$B$7)-Varsayımlar!$B$6),0)</f>
        <v>1604599.21501628</v>
      </c>
      <c r="V49" s="21" t="n">
        <f aca="false">IF((Varsayımlar!$B$5*(1-Varsayımlar!$B$7)-Varsayımlar!$B$6)&gt;0,((-V41+Varsayımlar!$B$8)+(-V33-V36)*(1-Varsayımlar!$B$7))/(Varsayımlar!$B$5*(1-Varsayımlar!$B$7)-Varsayımlar!$B$6),0)</f>
        <v>1610035.34144517</v>
      </c>
      <c r="W49" s="21" t="n">
        <f aca="false">IF((Varsayımlar!$B$5*(1-Varsayımlar!$B$7)-Varsayımlar!$B$6)&gt;0,((-W41+Varsayımlar!$B$8)+(-W33-W36)*(1-Varsayımlar!$B$7))/(Varsayımlar!$B$5*(1-Varsayımlar!$B$7)-Varsayımlar!$B$6),0)</f>
        <v>1411034.77256098</v>
      </c>
      <c r="X49" s="21" t="n">
        <f aca="false">IF((Varsayımlar!$B$5*(1-Varsayımlar!$B$7)-Varsayımlar!$B$6)&gt;0,((-X41+Varsayımlar!$B$8)+(-X33-X36)*(1-Varsayımlar!$B$7))/(Varsayımlar!$B$5*(1-Varsayımlar!$B$7)-Varsayımlar!$B$6),0)</f>
        <v>1347198.80121951</v>
      </c>
      <c r="Y49" s="21" t="n">
        <f aca="false">IF((Varsayımlar!$B$5*(1-Varsayımlar!$B$7)-Varsayımlar!$B$6)&gt;0,((-Y41+Varsayımlar!$B$8)+(-Y33-Y36)*(1-Varsayımlar!$B$7))/(Varsayımlar!$B$5*(1-Varsayımlar!$B$7)-Varsayımlar!$B$6),0)</f>
        <v>1350552.34573171</v>
      </c>
      <c r="Z49" s="21" t="n">
        <f aca="false">IF((Varsayımlar!$B$5*(1-Varsayımlar!$B$7)-Varsayımlar!$B$6)&gt;0,((-Z41+Varsayımlar!$B$8)+(-Z33-Z36)*(1-Varsayımlar!$B$7))/(Varsayımlar!$B$5*(1-Varsayımlar!$B$7)-Varsayımlar!$B$6),0)</f>
        <v>1354031.38414634</v>
      </c>
      <c r="AA49" s="21" t="n">
        <f aca="false">IF((Varsayımlar!$B$5*(1-Varsayımlar!$B$7)-Varsayımlar!$B$6)&gt;0,((-AA41+Varsayımlar!$B$8)+(-AA33-AA36)*(1-Varsayımlar!$B$7))/(Varsayımlar!$B$5*(1-Varsayımlar!$B$7)-Varsayımlar!$B$6),0)</f>
        <v>1357640.59817073</v>
      </c>
      <c r="AB49" s="21" t="n">
        <f aca="false">IF((Varsayımlar!$B$5*(1-Varsayımlar!$B$7)-Varsayımlar!$B$6)&gt;0,((-AB41+Varsayımlar!$B$8)+(-AB33-AB36)*(1-Varsayımlar!$B$7))/(Varsayımlar!$B$5*(1-Varsayımlar!$B$7)-Varsayımlar!$B$6),0)</f>
        <v>1361384.93109756</v>
      </c>
      <c r="AC49" s="21" t="n">
        <f aca="false">IF((Varsayımlar!$B$5*(1-Varsayımlar!$B$7)-Varsayımlar!$B$6)&gt;0,((-AC41+Varsayımlar!$B$8)+(-AC33-AC36)*(1-Varsayımlar!$B$7))/(Varsayımlar!$B$5*(1-Varsayımlar!$B$7)-Varsayımlar!$B$6),0)</f>
        <v>1365269.43353659</v>
      </c>
      <c r="AD49" s="21" t="n">
        <f aca="false">IF((Varsayımlar!$B$5*(1-Varsayımlar!$B$7)-Varsayımlar!$B$6)&gt;0,((-AD41+Varsayımlar!$B$8)+(-AD33-AD36)*(1-Varsayımlar!$B$7))/(Varsayımlar!$B$5*(1-Varsayımlar!$B$7)-Varsayımlar!$B$6),0)</f>
        <v>1369299.39085366</v>
      </c>
      <c r="AE49" s="21" t="n">
        <f aca="false">IF((Varsayımlar!$B$5*(1-Varsayımlar!$B$7)-Varsayımlar!$B$6)&gt;0,((-AE41+Varsayımlar!$B$8)+(-AE33-AE36)*(1-Varsayımlar!$B$7))/(Varsayımlar!$B$5*(1-Varsayımlar!$B$7)-Varsayımlar!$B$6),0)</f>
        <v>1373480.23597561</v>
      </c>
      <c r="AF49" s="21" t="n">
        <f aca="false">IF((Varsayımlar!$B$5*(1-Varsayımlar!$B$7)-Varsayımlar!$B$6)&gt;0,((-AF41+Varsayımlar!$B$8)+(-AF33-AF36)*(1-Varsayımlar!$B$7))/(Varsayımlar!$B$5*(1-Varsayımlar!$B$7)-Varsayımlar!$B$6),0)</f>
        <v>1319306.73841463</v>
      </c>
      <c r="AG49" s="21" t="n">
        <f aca="false">IF((Varsayımlar!$B$5*(1-Varsayımlar!$B$7)-Varsayımlar!$B$6)&gt;0,((-AG41+Varsayımlar!$B$8)+(-AG33-AG36)*(1-Varsayımlar!$B$7))/(Varsayımlar!$B$5*(1-Varsayımlar!$B$7)-Varsayımlar!$B$6),0)</f>
        <v>1323292.21280488</v>
      </c>
      <c r="AH49" s="21" t="n">
        <f aca="false">IF((Varsayımlar!$B$5*(1-Varsayımlar!$B$7)-Varsayımlar!$B$6)&gt;0,((-AH41+Varsayımlar!$B$8)+(-AH33-AH36)*(1-Varsayımlar!$B$7))/(Varsayımlar!$B$5*(1-Varsayımlar!$B$7)-Varsayımlar!$B$6),0)</f>
        <v>1327427.19329268</v>
      </c>
      <c r="AI49" s="21" t="n">
        <f aca="false">IF((Varsayımlar!$B$5*(1-Varsayımlar!$B$7)-Varsayımlar!$B$6)&gt;0,((-AI41+Varsayımlar!$B$8)+(-AI33-AI36)*(1-Varsayımlar!$B$7))/(Varsayımlar!$B$5*(1-Varsayımlar!$B$7)-Varsayımlar!$B$6),0)</f>
        <v>1221280.51341463</v>
      </c>
      <c r="AJ49" s="21" t="n">
        <f aca="false">IF((Varsayımlar!$B$5*(1-Varsayımlar!$B$7)-Varsayımlar!$B$6)&gt;0,((-AJ41+Varsayımlar!$B$8)+(-AJ33-AJ36)*(1-Varsayımlar!$B$7))/(Varsayımlar!$B$5*(1-Varsayımlar!$B$7)-Varsayımlar!$B$6),0)</f>
        <v>1224587.36829268</v>
      </c>
      <c r="AK49" s="21" t="n">
        <f aca="false">IF((Varsayımlar!$B$5*(1-Varsayımlar!$B$7)-Varsayımlar!$B$6)&gt;0,((-AK41+Varsayımlar!$B$8)+(-AK33-AK36)*(1-Varsayımlar!$B$7))/(Varsayımlar!$B$5*(1-Varsayımlar!$B$7)-Varsayımlar!$B$6),0)</f>
        <v>1228013.86829268</v>
      </c>
      <c r="AL49" s="21" t="n">
        <f aca="false">AVERAGE(B49:AK49)</f>
        <v>1470925.04734578</v>
      </c>
    </row>
    <row r="50" customFormat="false" ht="15" hidden="false" customHeight="false" outlineLevel="0" collapsed="false">
      <c r="A50" s="8" t="s">
        <v>302</v>
      </c>
      <c r="B50" s="12" t="n">
        <f aca="false">IF(Varsayımlar!$B$5&gt;0,(-B36-B41)/Varsayımlar!$B$5,0)</f>
        <v>655529.722163029</v>
      </c>
      <c r="C50" s="12" t="n">
        <f aca="false">IF(Varsayımlar!$B$5&gt;0,(-C36-C41)/Varsayımlar!$B$5,0)</f>
        <v>655529.722163029</v>
      </c>
      <c r="D50" s="12" t="n">
        <f aca="false">IF(Varsayımlar!$B$5&gt;0,(-D36-D41)/Varsayımlar!$B$5,0)</f>
        <v>655529.722163029</v>
      </c>
      <c r="E50" s="12" t="n">
        <f aca="false">IF(Varsayımlar!$B$5&gt;0,(-E36-E41)/Varsayımlar!$B$5,0)</f>
        <v>655529.581309371</v>
      </c>
      <c r="F50" s="12" t="n">
        <f aca="false">IF(Varsayımlar!$B$5&gt;0,(-F36-F41)/Varsayımlar!$B$5,0)</f>
        <v>634284.6642362</v>
      </c>
      <c r="G50" s="12" t="n">
        <f aca="false">IF(Varsayımlar!$B$5&gt;0,(-G36-G41)/Varsayımlar!$B$5,0)</f>
        <v>634284.6642362</v>
      </c>
      <c r="H50" s="12" t="n">
        <f aca="false">IF(Varsayımlar!$B$5&gt;0,(-H36-H41)/Varsayımlar!$B$5,0)</f>
        <v>634284.6642362</v>
      </c>
      <c r="I50" s="12" t="n">
        <f aca="false">IF(Varsayımlar!$B$5&gt;0,(-I36-I41)/Varsayımlar!$B$5,0)</f>
        <v>634284.6642362</v>
      </c>
      <c r="J50" s="12" t="n">
        <f aca="false">IF(Varsayımlar!$B$5&gt;0,(-J36-J41)/Varsayımlar!$B$5,0)</f>
        <v>634284.6642362</v>
      </c>
      <c r="K50" s="12" t="n">
        <f aca="false">IF(Varsayımlar!$B$5&gt;0,(-K36-K41)/Varsayımlar!$B$5,0)</f>
        <v>634284.6642362</v>
      </c>
      <c r="L50" s="12" t="n">
        <f aca="false">IF(Varsayımlar!$B$5&gt;0,(-L36-L41)/Varsayımlar!$B$5,0)</f>
        <v>634284.6642362</v>
      </c>
      <c r="M50" s="12" t="n">
        <f aca="false">IF(Varsayımlar!$B$5&gt;0,(-M36-M41)/Varsayımlar!$B$5,0)</f>
        <v>634284.6642362</v>
      </c>
      <c r="N50" s="12" t="n">
        <f aca="false">IF(Varsayımlar!$B$5&gt;0,(-N36-N41)/Varsayımlar!$B$5,0)</f>
        <v>634284.6642362</v>
      </c>
      <c r="O50" s="12" t="n">
        <f aca="false">IF(Varsayımlar!$B$5&gt;0,(-O36-O41)/Varsayımlar!$B$5,0)</f>
        <v>634284.6642362</v>
      </c>
      <c r="P50" s="12" t="n">
        <f aca="false">IF(Varsayımlar!$B$5&gt;0,(-P36-P41)/Varsayımlar!$B$5,0)</f>
        <v>634284.6642362</v>
      </c>
      <c r="Q50" s="12" t="n">
        <f aca="false">IF(Varsayımlar!$B$5&gt;0,(-Q36-Q41)/Varsayımlar!$B$5,0)</f>
        <v>634284.6642362</v>
      </c>
      <c r="R50" s="12" t="n">
        <f aca="false">IF(Varsayımlar!$B$5&gt;0,(-R36-R41)/Varsayımlar!$B$5,0)</f>
        <v>634284.6642362</v>
      </c>
      <c r="S50" s="12" t="n">
        <f aca="false">IF(Varsayımlar!$B$5&gt;0,(-S36-S41)/Varsayımlar!$B$5,0)</f>
        <v>634284.6642362</v>
      </c>
      <c r="T50" s="12" t="n">
        <f aca="false">IF(Varsayımlar!$B$5&gt;0,(-T36-T41)/Varsayımlar!$B$5,0)</f>
        <v>634284.6642362</v>
      </c>
      <c r="U50" s="12" t="n">
        <f aca="false">IF(Varsayımlar!$B$5&gt;0,(-U36-U41)/Varsayımlar!$B$5,0)</f>
        <v>634284.6642362</v>
      </c>
      <c r="V50" s="12" t="n">
        <f aca="false">IF(Varsayımlar!$B$5&gt;0,(-V36-V41)/Varsayımlar!$B$5,0)</f>
        <v>634284.664236198</v>
      </c>
      <c r="W50" s="12" t="n">
        <f aca="false">IF(Varsayımlar!$B$5&gt;0,(-W36-W41)/Varsayımlar!$B$5,0)</f>
        <v>480916.968292683</v>
      </c>
      <c r="X50" s="12" t="n">
        <f aca="false">IF(Varsayımlar!$B$5&gt;0,(-X36-X41)/Varsayımlar!$B$5,0)</f>
        <v>430129.606097561</v>
      </c>
      <c r="Y50" s="12" t="n">
        <f aca="false">IF(Varsayımlar!$B$5&gt;0,(-Y36-Y41)/Varsayımlar!$B$5,0)</f>
        <v>430129.606097561</v>
      </c>
      <c r="Z50" s="12" t="n">
        <f aca="false">IF(Varsayımlar!$B$5&gt;0,(-Z36-Z41)/Varsayımlar!$B$5,0)</f>
        <v>430129.606097561</v>
      </c>
      <c r="AA50" s="12" t="n">
        <f aca="false">IF(Varsayımlar!$B$5&gt;0,(-AA36-AA41)/Varsayımlar!$B$5,0)</f>
        <v>430129.606097561</v>
      </c>
      <c r="AB50" s="12" t="n">
        <f aca="false">IF(Varsayımlar!$B$5&gt;0,(-AB36-AB41)/Varsayımlar!$B$5,0)</f>
        <v>430129.606097561</v>
      </c>
      <c r="AC50" s="12" t="n">
        <f aca="false">IF(Varsayımlar!$B$5&gt;0,(-AC36-AC41)/Varsayımlar!$B$5,0)</f>
        <v>430129.606097561</v>
      </c>
      <c r="AD50" s="12" t="n">
        <f aca="false">IF(Varsayımlar!$B$5&gt;0,(-AD36-AD41)/Varsayımlar!$B$5,0)</f>
        <v>430129.606097561</v>
      </c>
      <c r="AE50" s="12" t="n">
        <f aca="false">IF(Varsayımlar!$B$5&gt;0,(-AE36-AE41)/Varsayımlar!$B$5,0)</f>
        <v>430129.565853659</v>
      </c>
      <c r="AF50" s="12" t="n">
        <f aca="false">IF(Varsayımlar!$B$5&gt;0,(-AF36-AF41)/Varsayımlar!$B$5,0)</f>
        <v>386246.326829268</v>
      </c>
      <c r="AG50" s="12" t="n">
        <f aca="false">IF(Varsayımlar!$B$5&gt;0,(-AG36-AG41)/Varsayımlar!$B$5,0)</f>
        <v>386246.326829268</v>
      </c>
      <c r="AH50" s="12" t="n">
        <f aca="false">IF(Varsayımlar!$B$5&gt;0,(-AH36-AH41)/Varsayımlar!$B$5,0)</f>
        <v>386245.562195122</v>
      </c>
      <c r="AI50" s="12" t="n">
        <f aca="false">IF(Varsayımlar!$B$5&gt;0,(-AI36-AI41)/Varsayımlar!$B$5,0)</f>
        <v>303416.387195122</v>
      </c>
      <c r="AJ50" s="12" t="n">
        <f aca="false">IF(Varsayımlar!$B$5&gt;0,(-AJ36-AJ41)/Varsayımlar!$B$5,0)</f>
        <v>303416.387195122</v>
      </c>
      <c r="AK50" s="12" t="n">
        <f aca="false">IF(Varsayımlar!$B$5&gt;0,(-AK36-AK41)/Varsayımlar!$B$5,0)</f>
        <v>303415.642682927</v>
      </c>
      <c r="AL50" s="21" t="n">
        <f aca="false">AVERAGE(B50:AK50)</f>
        <v>538774.956932499</v>
      </c>
    </row>
    <row r="51" customFormat="false" ht="15" hidden="false" customHeight="false" outlineLevel="0" collapsed="false">
      <c r="A51" s="8" t="s">
        <v>303</v>
      </c>
      <c r="B51" s="12" t="n">
        <f aca="false">B11-B49</f>
        <v>89282.5188987928</v>
      </c>
      <c r="C51" s="12" t="n">
        <f aca="false">C11-C49</f>
        <v>86764.9963111237</v>
      </c>
      <c r="D51" s="12" t="n">
        <f aca="false">D11-D49</f>
        <v>83780.6651671156</v>
      </c>
      <c r="E51" s="12" t="n">
        <f aca="false">E11-E49</f>
        <v>80641.0296801629</v>
      </c>
      <c r="F51" s="12" t="n">
        <f aca="false">F11-F49</f>
        <v>106336.188621996</v>
      </c>
      <c r="G51" s="12" t="n">
        <f aca="false">G11-G49</f>
        <v>102141.4862356</v>
      </c>
      <c r="H51" s="12" t="n">
        <f aca="false">H11-H49</f>
        <v>99474.6862634518</v>
      </c>
      <c r="I51" s="12" t="n">
        <f aca="false">I11-I49</f>
        <v>96939.4392110084</v>
      </c>
      <c r="J51" s="12" t="n">
        <f aca="false">J11-J49</f>
        <v>92279.475770189</v>
      </c>
      <c r="K51" s="12" t="n">
        <f aca="false">K11-K49</f>
        <v>88949.1465226542</v>
      </c>
      <c r="L51" s="12" t="n">
        <f aca="false">L11-L49</f>
        <v>85468.1030425767</v>
      </c>
      <c r="M51" s="12" t="n">
        <f aca="false">M11-M49</f>
        <v>81633.1502746446</v>
      </c>
      <c r="N51" s="12" t="n">
        <f aca="false">N11-N49</f>
        <v>77655.267745859</v>
      </c>
      <c r="O51" s="12" t="n">
        <f aca="false">O11-O49</f>
        <v>73875.7672915659</v>
      </c>
      <c r="P51" s="12" t="n">
        <f aca="false">P11-P49</f>
        <v>68959.5610736248</v>
      </c>
      <c r="Q51" s="12" t="n">
        <f aca="false">Q11-Q49</f>
        <v>64811.7502538909</v>
      </c>
      <c r="R51" s="12" t="n">
        <f aca="false">R11-R49</f>
        <v>60328.8983446271</v>
      </c>
      <c r="S51" s="12" t="n">
        <f aca="false">S11-S49</f>
        <v>55334.6008183358</v>
      </c>
      <c r="T51" s="12" t="n">
        <f aca="false">T11-T49</f>
        <v>50475.9082911091</v>
      </c>
      <c r="U51" s="12" t="n">
        <f aca="false">U11-U49</f>
        <v>45400.7849837216</v>
      </c>
      <c r="V51" s="12" t="n">
        <f aca="false">V11-V49</f>
        <v>39964.658554829</v>
      </c>
      <c r="W51" s="12" t="n">
        <f aca="false">W11-W49</f>
        <v>238965.227439024</v>
      </c>
      <c r="X51" s="12" t="n">
        <f aca="false">X11-X49</f>
        <v>302801.198780488</v>
      </c>
      <c r="Y51" s="12" t="n">
        <f aca="false">Y11-Y49</f>
        <v>299447.654268293</v>
      </c>
      <c r="Z51" s="12" t="n">
        <f aca="false">Z11-Z49</f>
        <v>295968.615853658</v>
      </c>
      <c r="AA51" s="12" t="n">
        <f aca="false">AA11-AA49</f>
        <v>292359.401829268</v>
      </c>
      <c r="AB51" s="12" t="n">
        <f aca="false">AB11-AB49</f>
        <v>288615.068902439</v>
      </c>
      <c r="AC51" s="12" t="n">
        <f aca="false">AC11-AC49</f>
        <v>284730.566463415</v>
      </c>
      <c r="AD51" s="12" t="n">
        <f aca="false">AD11-AD49</f>
        <v>280700.609146341</v>
      </c>
      <c r="AE51" s="12" t="n">
        <f aca="false">AE11-AE49</f>
        <v>276519.76402439</v>
      </c>
      <c r="AF51" s="12" t="n">
        <f aca="false">AF11-AF49</f>
        <v>330693.261585366</v>
      </c>
      <c r="AG51" s="12" t="n">
        <f aca="false">AG11-AG49</f>
        <v>326707.787195122</v>
      </c>
      <c r="AH51" s="12" t="n">
        <f aca="false">AH11-AH49</f>
        <v>322572.806707317</v>
      </c>
      <c r="AI51" s="12" t="n">
        <f aca="false">AI11-AI49</f>
        <v>428719.486585366</v>
      </c>
      <c r="AJ51" s="12" t="n">
        <f aca="false">AJ11-AJ49</f>
        <v>425412.631707317</v>
      </c>
      <c r="AK51" s="12" t="n">
        <f aca="false">AK11-AK49</f>
        <v>421986.131707317</v>
      </c>
      <c r="AL51" s="21" t="n">
        <f aca="false">AVERAGE(B51:AK51)</f>
        <v>179074.952654222</v>
      </c>
    </row>
  </sheetData>
  <conditionalFormatting sqref="B47:AK47">
    <cfRule type="cellIs" priority="2" operator="lessThan" aboveAverage="0" equalAverage="0" bottom="0" percent="0" rank="0" text="" dxfId="0">
      <formula>0</formula>
    </cfRule>
  </conditionalFormatting>
  <conditionalFormatting sqref="B51:AK51">
    <cfRule type="cellIs" priority="3" operator="lessThan" aboveAverage="0" equalAverage="0" bottom="0" percent="0" rank="0" text="" dxfId="1">
      <formula>0</formula>
    </cfRule>
  </conditionalFormatting>
  <conditionalFormatting sqref="B45:AK45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2026-08-25T11:23:57Z</dcterms:created>
  <dc:creator>openpyxl</dc:creator>
  <dc:description/>
  <dc:language>en-US</dc:language>
  <cp:lastModifiedBy/>
  <dcterms:modified xsi:type="dcterms:W3CDTF">2026-08-25T11:23:58Z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